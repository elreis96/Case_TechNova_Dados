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CumpadiBigos\Downloads\"/>
    </mc:Choice>
  </mc:AlternateContent>
  <xr:revisionPtr revIDLastSave="0" documentId="13_ncr:1_{5C908F70-D325-4070-B295-631D3A82A3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m_Setores" sheetId="2" r:id="rId1"/>
    <sheet name="Fact_Incidentes" sheetId="3" r:id="rId2"/>
    <sheet name="Avaliacoes_Startups" sheetId="1" r:id="rId3"/>
    <sheet name="Dados" sheetId="4" r:id="rId4"/>
    <sheet name="Consulta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5" l="1" a="1"/>
  <c r="D58" i="5" s="1"/>
  <c r="D59" i="5" a="1"/>
  <c r="D59" i="5" s="1"/>
  <c r="D60" i="5" a="1"/>
  <c r="D60" i="5" s="1"/>
  <c r="D61" i="5" a="1"/>
  <c r="D61" i="5" s="1"/>
  <c r="D57" i="5" a="1"/>
  <c r="D57" i="5" s="1"/>
  <c r="D51" i="5" a="1"/>
  <c r="D51" i="5" s="1"/>
  <c r="D52" i="5" a="1"/>
  <c r="D52" i="5" s="1"/>
  <c r="D53" i="5" a="1"/>
  <c r="D53" i="5" s="1"/>
  <c r="D54" i="5" a="1"/>
  <c r="D54" i="5" s="1"/>
  <c r="D50" i="5" a="1"/>
  <c r="D50" i="5" s="1"/>
  <c r="D44" i="5" a="1"/>
  <c r="D44" i="5" s="1"/>
  <c r="D45" i="5" a="1"/>
  <c r="D45" i="5" s="1"/>
  <c r="D46" i="5" a="1"/>
  <c r="D46" i="5" s="1"/>
  <c r="D47" i="5" a="1"/>
  <c r="D47" i="5" s="1"/>
  <c r="D43" i="5" a="1"/>
  <c r="D43" i="5" s="1"/>
  <c r="D40" i="5" a="1"/>
  <c r="D40" i="5" s="1"/>
  <c r="D37" i="5" a="1"/>
  <c r="D37" i="5" s="1"/>
  <c r="D38" i="5" a="1"/>
  <c r="D38" i="5" s="1"/>
  <c r="D39" i="5" a="1"/>
  <c r="D39" i="5" s="1"/>
  <c r="D36" i="5" a="1"/>
  <c r="D36" i="5" s="1"/>
  <c r="D30" i="5" a="1"/>
  <c r="D30" i="5" s="1"/>
  <c r="D31" i="5" a="1"/>
  <c r="D31" i="5" s="1"/>
  <c r="D32" i="5" a="1"/>
  <c r="D32" i="5" s="1"/>
  <c r="D33" i="5" a="1"/>
  <c r="D33" i="5" s="1"/>
  <c r="D29" i="5" a="1"/>
  <c r="D29" i="5" s="1"/>
  <c r="D23" i="5" a="1"/>
  <c r="D23" i="5" s="1"/>
  <c r="D24" i="5" a="1"/>
  <c r="D24" i="5" s="1"/>
  <c r="D25" i="5" a="1"/>
  <c r="D25" i="5" s="1"/>
  <c r="D26" i="5" a="1"/>
  <c r="D26" i="5" s="1"/>
  <c r="D22" i="5" a="1"/>
  <c r="D22" i="5" s="1"/>
  <c r="D14" i="5" a="1"/>
  <c r="D14" i="5" s="1"/>
  <c r="D15" i="5" a="1"/>
  <c r="D15" i="5" s="1"/>
  <c r="D16" i="5" a="1"/>
  <c r="D16" i="5" s="1"/>
  <c r="D17" i="5" a="1"/>
  <c r="D17" i="5" s="1"/>
  <c r="D13" i="5" a="1"/>
  <c r="D13" i="5" s="1"/>
  <c r="D8" i="5" a="1"/>
  <c r="D8" i="5" s="1"/>
  <c r="D7" i="5" a="1"/>
  <c r="D7" i="5" s="1"/>
  <c r="D6" i="5" a="1"/>
  <c r="D6" i="5" s="1"/>
  <c r="D5" i="5" a="1"/>
  <c r="D5" i="5" s="1"/>
  <c r="D4" i="5" a="1"/>
  <c r="D4" i="5" s="1"/>
  <c r="G11" i="5"/>
  <c r="G10" i="5"/>
  <c r="G9" i="5"/>
  <c r="G8" i="5"/>
  <c r="G7" i="5"/>
  <c r="G6" i="5"/>
  <c r="G5" i="5"/>
  <c r="G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<sst xmlns="http://schemas.openxmlformats.org/spreadsheetml/2006/main" count="2008" uniqueCount="737">
  <si>
    <t>id_startup</t>
  </si>
  <si>
    <t>nome_startup</t>
  </si>
  <si>
    <t>setor</t>
  </si>
  <si>
    <t>status</t>
  </si>
  <si>
    <t>data_avaliacao</t>
  </si>
  <si>
    <t>1.1_precisao_basica</t>
  </si>
  <si>
    <t>1.2_calibracao</t>
  </si>
  <si>
    <t>1.3_estabilidade_leitura</t>
  </si>
  <si>
    <t>1.4_latencia_sinal</t>
  </si>
  <si>
    <t>1.5_relacao_sinal_ruido</t>
  </si>
  <si>
    <t>2.1_custo_bom</t>
  </si>
  <si>
    <t>2.2_custo_opex</t>
  </si>
  <si>
    <t>2.3_tempo_deploy</t>
  </si>
  <si>
    <t>2.4_escalabilidade_fabril</t>
  </si>
  <si>
    <t>2.5_competitividade_preco</t>
  </si>
  <si>
    <t>3.1_mtbf_teorico</t>
  </si>
  <si>
    <t>3.2_tratamento_erros</t>
  </si>
  <si>
    <t>3.3_estabilidade_firmware</t>
  </si>
  <si>
    <t>3.4_tempo_recuperacao</t>
  </si>
  <si>
    <t>3.5_stress_test</t>
  </si>
  <si>
    <t>4.1_tempo_instalacao</t>
  </si>
  <si>
    <t>4.2_facilidade_config</t>
  </si>
  <si>
    <t>4.3_clareza_dashboard</t>
  </si>
  <si>
    <t>4.4_feedback_usuario</t>
  </si>
  <si>
    <t>4.5_doc_tecnica</t>
  </si>
  <si>
    <t>5.1_autonomia_bateria</t>
  </si>
  <si>
    <t>5.2_eficiencia_carga</t>
  </si>
  <si>
    <t>5.3_consumo_standby</t>
  </si>
  <si>
    <t>5.4_dimensionamento_fonte</t>
  </si>
  <si>
    <t>5.5_modo_sleep</t>
  </si>
  <si>
    <t>6.1_protecao_ip_agua</t>
  </si>
  <si>
    <t>6.2_resistencia_termica</t>
  </si>
  <si>
    <t>6.3_integridade_mecanica</t>
  </si>
  <si>
    <t>6.4_resistencia_impacto</t>
  </si>
  <si>
    <t>6.5_durabilidade_conector</t>
  </si>
  <si>
    <t>7.1_perda_pacotes</t>
  </si>
  <si>
    <t>7.2_latencia_nuvem</t>
  </si>
  <si>
    <t>7.3_integridade_backup</t>
  </si>
  <si>
    <t>7.4_resiliencia_api</t>
  </si>
  <si>
    <t>7.5_seguranca_cripto</t>
  </si>
  <si>
    <t>8.1_risco_supply_chain</t>
  </si>
  <si>
    <t>8.2_frequencia_manutencao</t>
  </si>
  <si>
    <t>8.3_indice_reparabilidade</t>
  </si>
  <si>
    <t>8.4_tempo_montagem</t>
  </si>
  <si>
    <t>8.5_ciclo_vida_material</t>
  </si>
  <si>
    <t>AlphaTech</t>
  </si>
  <si>
    <t>Agri-IoT</t>
  </si>
  <si>
    <t>Ativa</t>
  </si>
  <si>
    <t>2025-01-10</t>
  </si>
  <si>
    <t>BetaSolutions</t>
  </si>
  <si>
    <t>Water-Ops</t>
  </si>
  <si>
    <t>2025-01-11</t>
  </si>
  <si>
    <t>GammaSystems</t>
  </si>
  <si>
    <t>SmartCity</t>
  </si>
  <si>
    <t>Inativa</t>
  </si>
  <si>
    <t>2024-11-05</t>
  </si>
  <si>
    <t>DeltaDevices</t>
  </si>
  <si>
    <t>Enviro-Tech</t>
  </si>
  <si>
    <t>2025-01-12</t>
  </si>
  <si>
    <t>EpsilonEnergy</t>
  </si>
  <si>
    <t>Power-Grid</t>
  </si>
  <si>
    <t>2025-01-08</t>
  </si>
  <si>
    <t>ZetaSensors</t>
  </si>
  <si>
    <t>2024-10-20</t>
  </si>
  <si>
    <t>EtaFlow</t>
  </si>
  <si>
    <t>2025-01-09</t>
  </si>
  <si>
    <t>ThetaLight</t>
  </si>
  <si>
    <t>2025-01-13</t>
  </si>
  <si>
    <t>IotaWaste</t>
  </si>
  <si>
    <t>2025-01-05</t>
  </si>
  <si>
    <t>KappaPower</t>
  </si>
  <si>
    <t>2024-12-01</t>
  </si>
  <si>
    <t>LambdaCrops</t>
  </si>
  <si>
    <t>2025-01-14</t>
  </si>
  <si>
    <t>MuAqua</t>
  </si>
  <si>
    <t>2025-01-07</t>
  </si>
  <si>
    <t>NuTraffic</t>
  </si>
  <si>
    <t>2024-09-15</t>
  </si>
  <si>
    <t>XiSense</t>
  </si>
  <si>
    <t>2025-01-06</t>
  </si>
  <si>
    <t>OmicronWind</t>
  </si>
  <si>
    <t>2025-01-15</t>
  </si>
  <si>
    <t>PiTracking</t>
  </si>
  <si>
    <t>2025-01-04</t>
  </si>
  <si>
    <t>RhoIrrigation</t>
  </si>
  <si>
    <t>2025-01-03</t>
  </si>
  <si>
    <t>SigmaParking</t>
  </si>
  <si>
    <t>2024-11-20</t>
  </si>
  <si>
    <t>TauAir</t>
  </si>
  <si>
    <t>2025-01-02</t>
  </si>
  <si>
    <t>UpsilonBatt</t>
  </si>
  <si>
    <t>2025-01-01</t>
  </si>
  <si>
    <t>PhiFarm</t>
  </si>
  <si>
    <t>2024-12-10</t>
  </si>
  <si>
    <t>ChiLeak</t>
  </si>
  <si>
    <t>2024-12-28</t>
  </si>
  <si>
    <t>PsiNoise</t>
  </si>
  <si>
    <t>2024-12-29</t>
  </si>
  <si>
    <t>OmegaCarbon</t>
  </si>
  <si>
    <t>2024-10-05</t>
  </si>
  <si>
    <t>AlephVolt</t>
  </si>
  <si>
    <t>2024-12-30</t>
  </si>
  <si>
    <t>BethGrain</t>
  </si>
  <si>
    <t>2024-12-27</t>
  </si>
  <si>
    <t>GimelFlow</t>
  </si>
  <si>
    <t>2024-11-15</t>
  </si>
  <si>
    <t>DaletSafe</t>
  </si>
  <si>
    <t>2024-12-26</t>
  </si>
  <si>
    <t>HeOcean</t>
  </si>
  <si>
    <t>2024-12-25</t>
  </si>
  <si>
    <t>VavSun</t>
  </si>
  <si>
    <t>2024-12-24</t>
  </si>
  <si>
    <t>ZayinSoil</t>
  </si>
  <si>
    <t>2024-12-23</t>
  </si>
  <si>
    <t>HetPure</t>
  </si>
  <si>
    <t>2024-10-30</t>
  </si>
  <si>
    <t>TetConnect</t>
  </si>
  <si>
    <t>2024-12-22</t>
  </si>
  <si>
    <t>YodBio</t>
  </si>
  <si>
    <t>2024-12-21</t>
  </si>
  <si>
    <t>KafGrid</t>
  </si>
  <si>
    <t>2024-11-25</t>
  </si>
  <si>
    <t>LamedDrone</t>
  </si>
  <si>
    <t>2024-12-20</t>
  </si>
  <si>
    <t>MemRain</t>
  </si>
  <si>
    <t>2024-12-19</t>
  </si>
  <si>
    <t>NunBin</t>
  </si>
  <si>
    <t>2024-10-10</t>
  </si>
  <si>
    <t>SamekForest</t>
  </si>
  <si>
    <t>2024-12-18</t>
  </si>
  <si>
    <t>AyinWatt</t>
  </si>
  <si>
    <t>2024-12-17</t>
  </si>
  <si>
    <t>PeCollar</t>
  </si>
  <si>
    <t>2024-12-16</t>
  </si>
  <si>
    <t>TsadiHydro</t>
  </si>
  <si>
    <t>2024-12-15</t>
  </si>
  <si>
    <t>QofCross</t>
  </si>
  <si>
    <t>2024-11-10</t>
  </si>
  <si>
    <t>ReshPollution</t>
  </si>
  <si>
    <t>2024-12-14</t>
  </si>
  <si>
    <t>ShinEnergy</t>
  </si>
  <si>
    <t>2024-12-13</t>
  </si>
  <si>
    <t>nome_setor</t>
  </si>
  <si>
    <t>id_setor_cod</t>
  </si>
  <si>
    <t>tamanho_mercado_bi</t>
  </si>
  <si>
    <t>risco_regulatorio</t>
  </si>
  <si>
    <t>crescimento_anual</t>
  </si>
  <si>
    <t>S-01</t>
  </si>
  <si>
    <t>Baixo</t>
  </si>
  <si>
    <t>S-02</t>
  </si>
  <si>
    <t>Alto</t>
  </si>
  <si>
    <t>S-03</t>
  </si>
  <si>
    <t>Médio</t>
  </si>
  <si>
    <t>S-04</t>
  </si>
  <si>
    <t>S-05</t>
  </si>
  <si>
    <t>id_ticket</t>
  </si>
  <si>
    <t>data_abertura</t>
  </si>
  <si>
    <t>tipo_falha</t>
  </si>
  <si>
    <t>severidade</t>
  </si>
  <si>
    <t>status_ticket</t>
  </si>
  <si>
    <t>TKT-25795</t>
  </si>
  <si>
    <t>Sensor</t>
  </si>
  <si>
    <t>Baixa</t>
  </si>
  <si>
    <t>Fechado</t>
  </si>
  <si>
    <t>TKT-64886</t>
  </si>
  <si>
    <t>Média</t>
  </si>
  <si>
    <t>TKT-54131</t>
  </si>
  <si>
    <t>Alta</t>
  </si>
  <si>
    <t>TKT-69735</t>
  </si>
  <si>
    <t>Bateria</t>
  </si>
  <si>
    <t>Em Análise</t>
  </si>
  <si>
    <t>TKT-93104</t>
  </si>
  <si>
    <t>Software</t>
  </si>
  <si>
    <t>TKT-35658</t>
  </si>
  <si>
    <t>Carcaça</t>
  </si>
  <si>
    <t>TKT-75725</t>
  </si>
  <si>
    <t>TKT-41551</t>
  </si>
  <si>
    <t>TKT-90038</t>
  </si>
  <si>
    <t>Crítica</t>
  </si>
  <si>
    <t>TKT-83969</t>
  </si>
  <si>
    <t>TKT-33483</t>
  </si>
  <si>
    <t>TKT-79479</t>
  </si>
  <si>
    <t>TKT-82409</t>
  </si>
  <si>
    <t>Aberto</t>
  </si>
  <si>
    <t>TKT-42606</t>
  </si>
  <si>
    <t>TKT-99812</t>
  </si>
  <si>
    <t>TKT-96807</t>
  </si>
  <si>
    <t>TKT-48044</t>
  </si>
  <si>
    <t>TKT-12568</t>
  </si>
  <si>
    <t>Sinal</t>
  </si>
  <si>
    <t>TKT-58190</t>
  </si>
  <si>
    <t>TKT-71858</t>
  </si>
  <si>
    <t>TKT-74505</t>
  </si>
  <si>
    <t>TKT-88603</t>
  </si>
  <si>
    <t>TKT-20965</t>
  </si>
  <si>
    <t>TKT-89309</t>
  </si>
  <si>
    <t>TKT-16910</t>
  </si>
  <si>
    <t>TKT-97897</t>
  </si>
  <si>
    <t>TKT-60015</t>
  </si>
  <si>
    <t>TKT-97939</t>
  </si>
  <si>
    <t>TKT-77214</t>
  </si>
  <si>
    <t>TKT-91734</t>
  </si>
  <si>
    <t>TKT-74044</t>
  </si>
  <si>
    <t>TKT-79163</t>
  </si>
  <si>
    <t>TKT-25707</t>
  </si>
  <si>
    <t>TKT-71373</t>
  </si>
  <si>
    <t>TKT-68053</t>
  </si>
  <si>
    <t>TKT-76199</t>
  </si>
  <si>
    <t>TKT-56576</t>
  </si>
  <si>
    <t>TKT-99474</t>
  </si>
  <si>
    <t>TKT-36736</t>
  </si>
  <si>
    <t>TKT-48623</t>
  </si>
  <si>
    <t>TKT-97092</t>
  </si>
  <si>
    <t>TKT-73734</t>
  </si>
  <si>
    <t>TKT-35342</t>
  </si>
  <si>
    <t>TKT-99045</t>
  </si>
  <si>
    <t>TKT-61663</t>
  </si>
  <si>
    <t>TKT-82082</t>
  </si>
  <si>
    <t>TKT-12911</t>
  </si>
  <si>
    <t>TKT-81295</t>
  </si>
  <si>
    <t>TKT-83656</t>
  </si>
  <si>
    <t>TKT-26371</t>
  </si>
  <si>
    <t>TKT-30932</t>
  </si>
  <si>
    <t>TKT-52642</t>
  </si>
  <si>
    <t>TKT-69040</t>
  </si>
  <si>
    <t>TKT-63351</t>
  </si>
  <si>
    <t>TKT-92018</t>
  </si>
  <si>
    <t>TKT-87505</t>
  </si>
  <si>
    <t>TKT-48467</t>
  </si>
  <si>
    <t>TKT-32399</t>
  </si>
  <si>
    <t>TKT-80091</t>
  </si>
  <si>
    <t>TKT-29738</t>
  </si>
  <si>
    <t>TKT-49790</t>
  </si>
  <si>
    <t>TKT-83744</t>
  </si>
  <si>
    <t>TKT-46212</t>
  </si>
  <si>
    <t>TKT-28711</t>
  </si>
  <si>
    <t>TKT-76235</t>
  </si>
  <si>
    <t>TKT-60336</t>
  </si>
  <si>
    <t>TKT-33093</t>
  </si>
  <si>
    <t>TKT-82991</t>
  </si>
  <si>
    <t>TKT-55017</t>
  </si>
  <si>
    <t>TKT-64748</t>
  </si>
  <si>
    <t>TKT-20647</t>
  </si>
  <si>
    <t>TKT-80316</t>
  </si>
  <si>
    <t>TKT-80031</t>
  </si>
  <si>
    <t>TKT-23403</t>
  </si>
  <si>
    <t>TKT-62921</t>
  </si>
  <si>
    <t>TKT-66661</t>
  </si>
  <si>
    <t>TKT-25338</t>
  </si>
  <si>
    <t>TKT-13051</t>
  </si>
  <si>
    <t>TKT-76412</t>
  </si>
  <si>
    <t>TKT-27019</t>
  </si>
  <si>
    <t>TKT-38251</t>
  </si>
  <si>
    <t>TKT-15949</t>
  </si>
  <si>
    <t>TKT-26896</t>
  </si>
  <si>
    <t>TKT-30056</t>
  </si>
  <si>
    <t>TKT-63222</t>
  </si>
  <si>
    <t>TKT-83666</t>
  </si>
  <si>
    <t>TKT-82789</t>
  </si>
  <si>
    <t>TKT-54078</t>
  </si>
  <si>
    <t>TKT-45247</t>
  </si>
  <si>
    <t>TKT-36646</t>
  </si>
  <si>
    <t>TKT-78385</t>
  </si>
  <si>
    <t>TKT-19823</t>
  </si>
  <si>
    <t>TKT-61991</t>
  </si>
  <si>
    <t>TKT-98223</t>
  </si>
  <si>
    <t>TKT-14000</t>
  </si>
  <si>
    <t>TKT-48304</t>
  </si>
  <si>
    <t>TKT-96027</t>
  </si>
  <si>
    <t>TKT-37350</t>
  </si>
  <si>
    <t>TKT-25305</t>
  </si>
  <si>
    <t>TKT-13267</t>
  </si>
  <si>
    <t>TKT-17543</t>
  </si>
  <si>
    <t>TKT-54425</t>
  </si>
  <si>
    <t>TKT-93042</t>
  </si>
  <si>
    <t>TKT-69031</t>
  </si>
  <si>
    <t>TKT-81180</t>
  </si>
  <si>
    <t>TKT-24397</t>
  </si>
  <si>
    <t>TKT-49954</t>
  </si>
  <si>
    <t>TKT-34466</t>
  </si>
  <si>
    <t>TKT-61934</t>
  </si>
  <si>
    <t>TKT-96900</t>
  </si>
  <si>
    <t>TKT-21130</t>
  </si>
  <si>
    <t>TKT-31545</t>
  </si>
  <si>
    <t>TKT-84460</t>
  </si>
  <si>
    <t>TKT-58136</t>
  </si>
  <si>
    <t>TKT-54261</t>
  </si>
  <si>
    <t>TKT-98858</t>
  </si>
  <si>
    <t>TKT-64693</t>
  </si>
  <si>
    <t>TKT-50262</t>
  </si>
  <si>
    <t>TKT-99339</t>
  </si>
  <si>
    <t>TKT-35289</t>
  </si>
  <si>
    <t>TKT-96188</t>
  </si>
  <si>
    <t>TKT-40355</t>
  </si>
  <si>
    <t>TKT-90219</t>
  </si>
  <si>
    <t>TKT-33960</t>
  </si>
  <si>
    <t>TKT-77641</t>
  </si>
  <si>
    <t>TKT-30559</t>
  </si>
  <si>
    <t>TKT-40354</t>
  </si>
  <si>
    <t>TKT-62528</t>
  </si>
  <si>
    <t>TKT-78866</t>
  </si>
  <si>
    <t>TKT-20975</t>
  </si>
  <si>
    <t>TKT-39703</t>
  </si>
  <si>
    <t>TKT-94665</t>
  </si>
  <si>
    <t>TKT-14835</t>
  </si>
  <si>
    <t>TKT-48088</t>
  </si>
  <si>
    <t>TKT-37532</t>
  </si>
  <si>
    <t>TKT-66178</t>
  </si>
  <si>
    <t>TKT-94791</t>
  </si>
  <si>
    <t>TKT-11015</t>
  </si>
  <si>
    <t>TKT-72292</t>
  </si>
  <si>
    <t>TKT-96704</t>
  </si>
  <si>
    <t>TKT-10404</t>
  </si>
  <si>
    <t>TKT-19860</t>
  </si>
  <si>
    <t>TKT-79172</t>
  </si>
  <si>
    <t>TKT-66397</t>
  </si>
  <si>
    <t>TKT-31949</t>
  </si>
  <si>
    <t>TKT-24489</t>
  </si>
  <si>
    <t>TKT-42049</t>
  </si>
  <si>
    <t>TKT-34285</t>
  </si>
  <si>
    <t>TKT-49764</t>
  </si>
  <si>
    <t>TKT-75215</t>
  </si>
  <si>
    <t>TKT-83553</t>
  </si>
  <si>
    <t>TKT-93251</t>
  </si>
  <si>
    <t>TKT-80390</t>
  </si>
  <si>
    <t>TKT-49811</t>
  </si>
  <si>
    <t>TKT-65123</t>
  </si>
  <si>
    <t>TKT-79836</t>
  </si>
  <si>
    <t>TKT-16254</t>
  </si>
  <si>
    <t>TKT-68243</t>
  </si>
  <si>
    <t>TKT-93807</t>
  </si>
  <si>
    <t>TKT-38732</t>
  </si>
  <si>
    <t>TKT-97505</t>
  </si>
  <si>
    <t>TKT-49749</t>
  </si>
  <si>
    <t>TKT-61745</t>
  </si>
  <si>
    <t>TKT-33321</t>
  </si>
  <si>
    <t>TKT-65645</t>
  </si>
  <si>
    <t>TKT-89104</t>
  </si>
  <si>
    <t>TKT-10302</t>
  </si>
  <si>
    <t>TKT-54247</t>
  </si>
  <si>
    <t>TKT-15126</t>
  </si>
  <si>
    <t>TKT-98869</t>
  </si>
  <si>
    <t>TKT-20267</t>
  </si>
  <si>
    <t>TKT-66793</t>
  </si>
  <si>
    <t>TKT-16168</t>
  </si>
  <si>
    <t>TKT-36734</t>
  </si>
  <si>
    <t>TKT-33275</t>
  </si>
  <si>
    <t>TKT-94659</t>
  </si>
  <si>
    <t>TKT-27260</t>
  </si>
  <si>
    <t>TKT-11605</t>
  </si>
  <si>
    <t>TKT-86125</t>
  </si>
  <si>
    <t>TKT-86323</t>
  </si>
  <si>
    <t>TKT-97886</t>
  </si>
  <si>
    <t>TKT-23234</t>
  </si>
  <si>
    <t>TKT-89239</t>
  </si>
  <si>
    <t>TKT-40105</t>
  </si>
  <si>
    <t>TKT-55587</t>
  </si>
  <si>
    <t>TKT-88477</t>
  </si>
  <si>
    <t>TKT-57362</t>
  </si>
  <si>
    <t>TKT-97958</t>
  </si>
  <si>
    <t>TKT-44387</t>
  </si>
  <si>
    <t>TKT-89767</t>
  </si>
  <si>
    <t>TKT-93524</t>
  </si>
  <si>
    <t>TKT-77444</t>
  </si>
  <si>
    <t>TKT-15415</t>
  </si>
  <si>
    <t>TKT-51832</t>
  </si>
  <si>
    <t>TKT-25524</t>
  </si>
  <si>
    <t>TKT-30611</t>
  </si>
  <si>
    <t>TKT-53303</t>
  </si>
  <si>
    <t>TKT-97062</t>
  </si>
  <si>
    <t>TKT-21246</t>
  </si>
  <si>
    <t>TKT-64917</t>
  </si>
  <si>
    <t>TKT-66819</t>
  </si>
  <si>
    <t>TKT-19446</t>
  </si>
  <si>
    <t>TKT-42154</t>
  </si>
  <si>
    <t>TKT-53872</t>
  </si>
  <si>
    <t>TKT-81895</t>
  </si>
  <si>
    <t>TKT-24382</t>
  </si>
  <si>
    <t>TKT-26478</t>
  </si>
  <si>
    <t>TKT-81315</t>
  </si>
  <si>
    <t>TKT-22999</t>
  </si>
  <si>
    <t>TKT-85993</t>
  </si>
  <si>
    <t>TKT-37306</t>
  </si>
  <si>
    <t>TKT-10126</t>
  </si>
  <si>
    <t>TKT-65176</t>
  </si>
  <si>
    <t>TKT-23718</t>
  </si>
  <si>
    <t>TKT-57523</t>
  </si>
  <si>
    <t>TKT-49282</t>
  </si>
  <si>
    <t>TKT-49224</t>
  </si>
  <si>
    <t>TKT-73731</t>
  </si>
  <si>
    <t>TKT-18070</t>
  </si>
  <si>
    <t>TKT-16783</t>
  </si>
  <si>
    <t>TKT-77526</t>
  </si>
  <si>
    <t>TKT-47148</t>
  </si>
  <si>
    <t>TKT-26241</t>
  </si>
  <si>
    <t>TKT-62853</t>
  </si>
  <si>
    <t>TKT-30806</t>
  </si>
  <si>
    <t>TKT-34442</t>
  </si>
  <si>
    <t>TKT-28449</t>
  </si>
  <si>
    <t>TKT-16645</t>
  </si>
  <si>
    <t>TKT-75155</t>
  </si>
  <si>
    <t>TKT-88623</t>
  </si>
  <si>
    <t>TKT-62603</t>
  </si>
  <si>
    <t>TKT-91244</t>
  </si>
  <si>
    <t>TKT-40678</t>
  </si>
  <si>
    <t>TKT-95230</t>
  </si>
  <si>
    <t>TKT-89111</t>
  </si>
  <si>
    <t>TKT-96925</t>
  </si>
  <si>
    <t>TKT-26032</t>
  </si>
  <si>
    <t>TKT-51874</t>
  </si>
  <si>
    <t>TKT-52880</t>
  </si>
  <si>
    <t>TKT-25358</t>
  </si>
  <si>
    <t>TKT-88757</t>
  </si>
  <si>
    <t>TKT-27771</t>
  </si>
  <si>
    <t>TKT-77642</t>
  </si>
  <si>
    <t>TKT-12573</t>
  </si>
  <si>
    <t>TKT-33752</t>
  </si>
  <si>
    <t>TKT-86908</t>
  </si>
  <si>
    <t>TKT-71268</t>
  </si>
  <si>
    <t>TKT-88411</t>
  </si>
  <si>
    <t>TKT-61226</t>
  </si>
  <si>
    <t>TKT-56828</t>
  </si>
  <si>
    <t>TKT-99563</t>
  </si>
  <si>
    <t>TKT-48709</t>
  </si>
  <si>
    <t>TKT-97410</t>
  </si>
  <si>
    <t>TKT-99599</t>
  </si>
  <si>
    <t>TKT-38769</t>
  </si>
  <si>
    <t>TKT-84478</t>
  </si>
  <si>
    <t>TKT-34058</t>
  </si>
  <si>
    <t>TKT-11524</t>
  </si>
  <si>
    <t>TKT-44008</t>
  </si>
  <si>
    <t>TKT-23350</t>
  </si>
  <si>
    <t>TKT-85186</t>
  </si>
  <si>
    <t>TKT-79626</t>
  </si>
  <si>
    <t>TKT-67134</t>
  </si>
  <si>
    <t>TKT-21344</t>
  </si>
  <si>
    <t>TKT-80855</t>
  </si>
  <si>
    <t>TKT-37935</t>
  </si>
  <si>
    <t>TKT-29541</t>
  </si>
  <si>
    <t>TKT-90559</t>
  </si>
  <si>
    <t>TKT-16737</t>
  </si>
  <si>
    <t>TKT-27850</t>
  </si>
  <si>
    <t>TKT-45435</t>
  </si>
  <si>
    <t>TKT-12983</t>
  </si>
  <si>
    <t>TKT-16640</t>
  </si>
  <si>
    <t>TKT-37345</t>
  </si>
  <si>
    <t>TKT-84038</t>
  </si>
  <si>
    <t>TKT-85532</t>
  </si>
  <si>
    <t>TKT-49974</t>
  </si>
  <si>
    <t>TKT-71916</t>
  </si>
  <si>
    <t>TKT-95431</t>
  </si>
  <si>
    <t>TKT-34574</t>
  </si>
  <si>
    <t>TKT-95680</t>
  </si>
  <si>
    <t>TKT-44801</t>
  </si>
  <si>
    <t>TKT-67775</t>
  </si>
  <si>
    <t>TKT-14494</t>
  </si>
  <si>
    <t>TKT-53001</t>
  </si>
  <si>
    <t>TKT-47573</t>
  </si>
  <si>
    <t>TKT-90435</t>
  </si>
  <si>
    <t>TKT-91470</t>
  </si>
  <si>
    <t>TKT-87129</t>
  </si>
  <si>
    <t>TKT-37376</t>
  </si>
  <si>
    <t>TKT-76262</t>
  </si>
  <si>
    <t>TKT-40448</t>
  </si>
  <si>
    <t>TKT-35425</t>
  </si>
  <si>
    <t>TKT-17906</t>
  </si>
  <si>
    <t>TKT-44701</t>
  </si>
  <si>
    <t>TKT-33874</t>
  </si>
  <si>
    <t>TKT-98801</t>
  </si>
  <si>
    <t>TKT-68762</t>
  </si>
  <si>
    <t>TKT-31754</t>
  </si>
  <si>
    <t>TKT-19903</t>
  </si>
  <si>
    <t>TKT-19516</t>
  </si>
  <si>
    <t>TKT-11591</t>
  </si>
  <si>
    <t>TKT-96231</t>
  </si>
  <si>
    <t>TKT-93624</t>
  </si>
  <si>
    <t>TKT-96206</t>
  </si>
  <si>
    <t>TKT-59708</t>
  </si>
  <si>
    <t>TKT-12719</t>
  </si>
  <si>
    <t>TKT-28787</t>
  </si>
  <si>
    <t>TKT-85713</t>
  </si>
  <si>
    <t>TKT-44832</t>
  </si>
  <si>
    <t>TKT-73852</t>
  </si>
  <si>
    <t>TKT-97272</t>
  </si>
  <si>
    <t>TKT-36660</t>
  </si>
  <si>
    <t>TKT-17491</t>
  </si>
  <si>
    <t>TKT-19077</t>
  </si>
  <si>
    <t>TKT-77889</t>
  </si>
  <si>
    <t>TKT-97266</t>
  </si>
  <si>
    <t>TKT-41598</t>
  </si>
  <si>
    <t>TKT-54569</t>
  </si>
  <si>
    <t>TKT-16540</t>
  </si>
  <si>
    <t>TKT-60975</t>
  </si>
  <si>
    <t>TKT-62930</t>
  </si>
  <si>
    <t>TKT-63268</t>
  </si>
  <si>
    <t>TKT-73416</t>
  </si>
  <si>
    <t>TKT-86961</t>
  </si>
  <si>
    <t>TKT-36385</t>
  </si>
  <si>
    <t>TKT-31563</t>
  </si>
  <si>
    <t>TKT-92970</t>
  </si>
  <si>
    <t>TKT-92879</t>
  </si>
  <si>
    <t>TKT-10526</t>
  </si>
  <si>
    <t>TKT-44531</t>
  </si>
  <si>
    <t>TKT-15109</t>
  </si>
  <si>
    <t>TKT-70112</t>
  </si>
  <si>
    <t>TKT-39009</t>
  </si>
  <si>
    <t>TKT-61195</t>
  </si>
  <si>
    <t>TKT-79298</t>
  </si>
  <si>
    <t>TKT-62269</t>
  </si>
  <si>
    <t>TKT-84663</t>
  </si>
  <si>
    <t>TKT-37424</t>
  </si>
  <si>
    <t>TKT-66985</t>
  </si>
  <si>
    <t>TKT-60861</t>
  </si>
  <si>
    <t>TKT-19078</t>
  </si>
  <si>
    <t>TKT-11925</t>
  </si>
  <si>
    <t>TKT-43320</t>
  </si>
  <si>
    <t>TKT-23629</t>
  </si>
  <si>
    <t>TKT-56163</t>
  </si>
  <si>
    <t>TKT-84137</t>
  </si>
  <si>
    <t>TKT-25313</t>
  </si>
  <si>
    <t>TKT-93186</t>
  </si>
  <si>
    <t>1 – Critérios de avaliação de Precisão (Accuracy)</t>
  </si>
  <si>
    <t>Indicadores</t>
  </si>
  <si>
    <t>Inaceitável – 1 Ponto</t>
  </si>
  <si>
    <t>Fraco – 2 Pontos</t>
  </si>
  <si>
    <t>Aceitável – 3 Pontos</t>
  </si>
  <si>
    <t>Bom – 4 Pontos</t>
  </si>
  <si>
    <t>Excelente – 5 Pontos</t>
  </si>
  <si>
    <t>Erro entre 15–25%. Funcionamento inadequado.</t>
  </si>
  <si>
    <t>Erro &lt; 15%. Cumpre a função básica.</t>
  </si>
  <si>
    <t>Erro &lt; 10%. Funcionamento robusto.</t>
  </si>
  <si>
    <t>Deriva &gt; 15%. Dados das últimas semanas inutilizáveis, requer revisão de projeto.</t>
  </si>
  <si>
    <t>Deriva entre 5–15%. Exige recalibração ao final do teste (limitação significativa).</t>
  </si>
  <si>
    <t>Deriva &lt; 5%. Pequenos ajustes necessários.</t>
  </si>
  <si>
    <t>3–5 min. Inadequado.</t>
  </si>
  <si>
    <t>1–3 min. Cumpre a função básica.</t>
  </si>
  <si>
    <t>30–60 s. Robusto.</t>
  </si>
  <si>
    <t>90–95% de integridade. Perdas inadequadas, requer revisão.</t>
  </si>
  <si>
    <t>95–98% de integridade. Cumpre a função, mas com perdas.</t>
  </si>
  <si>
    <t>98–99,9% de integridade. Perdas mínimas.</t>
  </si>
  <si>
    <t>2 – Critérios de avaliação de Custo-Benefício (Cost-effectiveness)</t>
  </si>
  <si>
    <t>Custo muito baixo, desempenho aceitável (aceitável com muitas limitações).</t>
  </si>
  <si>
    <t>Custo baixo, desempenho aceitável (relação custo/limitação equilibrada).</t>
  </si>
  <si>
    <t>Custo baixo, desempenho bom (robusto).</t>
  </si>
  <si>
    <t>Custo baixo, desempenho bom ou excelente (superou expectativas).</t>
  </si>
  <si>
    <t>Custo 30-50% do MVP/ano. Inadequado.</t>
  </si>
  <si>
    <t>Custo 20-30% do MVP/ano (limitação significativa).</t>
  </si>
  <si>
    <t>Custo 10-20% do MVP/ano.</t>
  </si>
  <si>
    <t>Custo &lt; 10% do MVP/ano.</t>
  </si>
  <si>
    <t>Média de 2-3 horas/unidade. Inadequado, requer revisão do design.</t>
  </si>
  <si>
    <t>Média de 1-2 horas/unidade (limitação de tempo).</t>
  </si>
  <si>
    <t>Média de 30-60 minutos/unidade. Robusto.</t>
  </si>
  <si>
    <t>Média de &lt; 30 minutos/unidade, adequado.</t>
  </si>
  <si>
    <t>6-8 horas. Inadequado, requer revisão de engenharia.</t>
  </si>
  <si>
    <t>4-6 horas. Cumpre a função, mas com limitação de escala.</t>
  </si>
  <si>
    <t>2-4 horas. Processo robusto.</t>
  </si>
  <si>
    <t>&lt; 2 horas. Superou expectativas.</t>
  </si>
  <si>
    <t>TCO similar ou superior aos concorrentes.</t>
  </si>
  <si>
    <t>TCO 10-20% abaixo. Diferencial inadequado.</t>
  </si>
  <si>
    <t>TCO 20-40% abaixo. Vantagem clara, mas com limitações (ver outras notas).</t>
  </si>
  <si>
    <t>TCO 40-60% abaixo. Vantagem robusta.</t>
  </si>
  <si>
    <t>TCO &gt; 60% abaixo. Superou expectativas.</t>
  </si>
  <si>
    <t>3 – Critérios de avaliação de Confiabilidade (Reliability)</t>
  </si>
  <si>
    <t>Erro &lt; 10% (limitação).</t>
  </si>
  <si>
    <t>Erro &lt; 5% (robusto).</t>
  </si>
  <si>
    <t>Erro &lt; 2% (superou expectativas).</t>
  </si>
  <si>
    <t>Perda severa 
 (&gt; 25%), invalidou os dados.</t>
  </si>
  <si>
    <t>Perda 5-15% (requer calibração, limitação).</t>
  </si>
  <si>
    <t>Perda &lt; 5% (robusto).</t>
  </si>
  <si>
    <t>Perda &lt; 2% (mínima).</t>
  </si>
  <si>
    <t>1-2 resets (limitação).</t>
  </si>
  <si>
    <t>0 resets, mas se recuperou sozinho.</t>
  </si>
  <si>
    <t>0 resets (100% estável).</t>
  </si>
  <si>
    <t>Recuperação lenta (5-10 min) (limitação).</t>
  </si>
  <si>
    <t>Recuperação robusta (1-5 min).</t>
  </si>
  <si>
    <t>Recuperação rápida (&lt; 1 min).</t>
  </si>
  <si>
    <t>Variabilidade 5-10% (limitação).</t>
  </si>
  <si>
    <t>Variabilidade 2-5% (robusta).</t>
  </si>
  <si>
    <t>Variabilidade &lt; 2% (excelente).</t>
  </si>
  <si>
    <t>4 – Critérios de avaliação de Usabilidade (Usability)</t>
  </si>
  <si>
    <t>1-2h/unidade; 1-2 pessoas (limitação).</t>
  </si>
  <si>
    <t>30-60 min/unidade; 1 pessoa.</t>
  </si>
  <si>
    <t>&lt; 30 min/unidade; 1 pessoa.</t>
  </si>
  <si>
    <t>Requer edição de código/firmware.</t>
  </si>
  <si>
    <t>Requer PC/cabo ou software complexo.</t>
  </si>
  <si>
    <t>Requer Ponto de Acesso (AP) e configuração manual (limitação).</t>
  </si>
  <si>
    <t>Rápido (via app), &lt; 5 min.</t>
  </si>
  <si>
    <t>Automático (Portal Cativo/WPS), &lt; 2 min.</t>
  </si>
  <si>
    <t>Usuário não consegue interpretar dados brutos.</t>
  </si>
  <si>
    <t>Usuário encontra, mas acha confuso (limitação).</t>
  </si>
  <si>
    <t>Usuário encontra &lt; 1 minuto (robusto).</t>
  </si>
  <si>
    <t>Usuário encontra &lt; 30 segundos (prático).</t>
  </si>
  <si>
    <t>LEDs requerem consulta ao manual (limitação).</t>
  </si>
  <si>
    <t>LEDs claros e intuitivos (ex: "Vermelho = Falha").</t>
  </si>
  <si>
    <t>LEDs claros e feedback na nuvem (ex: "Status: OFFLINE").</t>
  </si>
  <si>
    <t>5 – Critérios de avaliação de Eficiência Energética (Energy Efficiency)</t>
  </si>
  <si>
    <t>Uma ou mais réplicas (n=5) desligaram por falta de energia.</t>
  </si>
  <si>
    <t>Bateria &lt; 20% (risco de desligamento). Requer revisão.</t>
  </si>
  <si>
    <t>Bateria 30-50% (sem reserva, limitação).</t>
  </si>
  <si>
    <t>Bateria nunca &lt; 60% (robusto).</t>
  </si>
  <si>
    <t>Bateria nunca &lt; 80% (excelente).</t>
  </si>
  <si>
    <t>Requer &gt; 1 dia de sol para recarga.</t>
  </si>
  <si>
    <t>Carga em 1 dia de sol (8h) (inadequado).</t>
  </si>
  <si>
    <t>Carga em 6h de sol (aceitável).</t>
  </si>
  <si>
    <t>Carga em 4h de sol (robusto).</t>
  </si>
  <si>
    <t>Carga em &lt; 3h de sol (excelente)</t>
  </si>
  <si>
    <t>Alto consumo (bateria &gt; 5 dias).</t>
  </si>
  <si>
    <t>Consumo inadequado (autonomia &lt; 10 dias).</t>
  </si>
  <si>
    <t>Consumo aceitável (autonomia 10-20 dias).</t>
  </si>
  <si>
    <t>Baixo consumo (autonomia 20-30 dias).</t>
  </si>
  <si>
    <t>Consumo ultra-baixo (autonomia &gt; 30 dias)</t>
  </si>
  <si>
    <t>Subdimensionado (ver 5.1).</t>
  </si>
  <si>
    <t>Subdimensionado (ver 5.2).</t>
  </si>
  <si>
    <t>Aceitável, mas sem margem de segurança.</t>
  </si>
  <si>
    <t>Robusto (boa margem).</t>
  </si>
  <si>
    <t>Excelente (ótima margem de segurança).</t>
  </si>
  <si>
    <t>6 – Critérios de avaliação de Robustez Estrutural (Structural Robustness)</t>
  </si>
  <si>
    <t>Infiltração de água (gotas). Falha crítica.</t>
  </si>
  <si>
    <t>Condensação interna excessiva (risco de curto).</t>
  </si>
  <si>
    <t>Condensação interna, com pouca água líquida (risco de curto).</t>
  </si>
  <si>
    <t>Leve condensação, sem água líquida (limitação).</t>
  </si>
  <si>
    <t>100% seco (sem condensação).</t>
  </si>
  <si>
    <t>Infiltração de água de chuva. Falha crítica.</t>
  </si>
  <si>
    <t>Infiltração de poeira e insetos (risco inadequado).</t>
  </si>
  <si>
    <t>Presença de poeira, sem umidade (limitação).</t>
  </si>
  <si>
    <t>100% seco, mas com poeira/insetos.</t>
  </si>
  <si>
    <t>100% seco e limpo (sem poeira/insetos).</t>
  </si>
  <si>
    <t>Falha estrutural (tombou, virou, quebrou).</t>
  </si>
  <si>
    <t>Instável (danificado limitando a estabilidade)</t>
  </si>
  <si>
    <t>Estável, mas com limitações</t>
  </si>
  <si>
    <t>Robusto, sem inclinação.</t>
  </si>
  <si>
    <t>Excelente estabilidade em vento/ondas.</t>
  </si>
  <si>
    <t>Excelente estabilidade.</t>
  </si>
  <si>
    <t>Falha (cabo rompido, conector oxidado, plástico rachado).</t>
  </si>
  <si>
    <t>Sinais claros de desgaste (rigidez, oxidação leve).</t>
  </si>
  <si>
    <t>Sinais estéticos (descoloração).</t>
  </si>
  <si>
    <t>Componentes com pouca danificação.</t>
  </si>
  <si>
    <t>Componentes intactos, como novos.</t>
  </si>
  <si>
    <t>7 – Critérios de avaliação de Integração IoT/Nuvem (IoT-Cloud Integration)</t>
  </si>
  <si>
    <t>&lt; 90% (perda de dados sistemática).</t>
  </si>
  <si>
    <t>90-95% (perdas inadequadas).</t>
  </si>
  <si>
    <t>95-98% (perdas aceitáveis, limitação).</t>
  </si>
  <si>
    <t>98-99,9% (perdas mínimas).</t>
  </si>
  <si>
    <t>100% de integridade.</t>
  </si>
  <si>
    <t>&gt; 15 minutos.</t>
  </si>
  <si>
    <t>5-15 minutos (inadequado).</t>
  </si>
  <si>
    <t>1-5 minutos (quase-tempo real, limitação).</t>
  </si>
  <si>
    <t>30-60 segundos (robusto).</t>
  </si>
  <si>
    <t>&lt; 10 segundos (excelente).</t>
  </si>
  <si>
    <t>Corrupção de dados &gt; 5% ou falha do sistema.</t>
  </si>
  <si>
    <t>Corrupção 1-5% (inadequado).</t>
  </si>
  <si>
    <t>Corrupção &lt; 1% (aceitável).</t>
  </si>
  <si>
    <t>0% corrompidos (robusto.</t>
  </si>
  <si>
    <t>0% corrompidos e gerenciamento fundamental dos dados processados.</t>
  </si>
  <si>
    <t>Falha da API interrompe a coleta (sem backup).</t>
  </si>
  <si>
    <t>Falha da API interrompe transmissão (backup pequeno).</t>
  </si>
  <si>
    <t>Depende de APIs instáveis, mas backup é robusto.</t>
  </si>
  <si>
    <t>Depende de APIs robustas (ex: Google) + backup.</t>
  </si>
  <si>
    <t>APIs robustas + buffer de reenvio no firmware.</t>
  </si>
  <si>
    <t>Chaves de API embutidos (firmware) em texto puro.</t>
  </si>
  <si>
    <t>Acesso local aberto; chaves ocultas.</t>
  </si>
  <si>
    <t>Acesso local protegido; chaves em texto puro.</t>
  </si>
  <si>
    <t>Acesso local protegido; chaves ocultas (ex: arquivo).</t>
  </si>
  <si>
    <t>Acesso protegido; chaves criptografadas.</t>
  </si>
  <si>
    <t>8 – Critérios de avaliação de Sustentabilidade Tecnológica (Sustainability)</t>
  </si>
  <si>
    <t>TCO 10-20% abaixo (diferencial inadequado).</t>
  </si>
  <si>
    <t>TCO 20-40% abaixo (vantagem clara).</t>
  </si>
  <si>
    <t>TCO 40-60% abaixo (robusto).</t>
  </si>
  <si>
    <t>TCO &gt; 60% abaixo (excelente).</t>
  </si>
  <si>
    <t>Diário (inviável)</t>
  </si>
  <si>
    <t>A cada dois dias (inadequado)</t>
  </si>
  <si>
    <t>Semanal (inadequeado para escala)</t>
  </si>
  <si>
    <t>Quinzenal (aceitável, mas é uma limitação).</t>
  </si>
  <si>
    <t>Mensal ou mais (excelente).</t>
  </si>
  <si>
    <t>Componentes soldados/inacessíveis (reparo inviável).</t>
  </si>
  <si>
    <t>Reparo &gt; 1h (ex: requer solda em campo).</t>
  </si>
  <si>
    <t>Reparo &lt; 1h (ex: troca de placa/sensores com ferramentas).</t>
  </si>
  <si>
    <t>Reparo &lt; 30 min (modular).</t>
  </si>
  <si>
    <t>Reparo &lt; 10 min (plug-and-play).</t>
  </si>
  <si>
    <t>&gt; 8 horas (processo artesanal, inviável).</t>
  </si>
  <si>
    <t>6-8 horas (requer revisão).</t>
  </si>
  <si>
    <t>4-6 horas (limitação de escala).</t>
  </si>
  <si>
    <t>2-4 horas (robusto).</t>
  </si>
  <si>
    <t>&lt; 2 horas (excelente).</t>
  </si>
  <si>
    <t>Uso de materiais não duráveis (ex: PVC comum) ou alta geração de resíduos (ex: sensores descartáveis).</t>
  </si>
  <si>
    <t>Materiais inadequados (baixa vida útil).</t>
  </si>
  <si>
    <t>Materiais aceitáveis (ex: PVC, mas requer troca).</t>
  </si>
  <si>
    <t>Materiais robustos (ex: Inox, Policarbonato).</t>
  </si>
  <si>
    <t>Materiais robustos e de baixo impacto (ex: reciclados).</t>
  </si>
  <si>
    <t>Erro &gt; 20%.</t>
  </si>
  <si>
    <t xml:space="preserve">Erro entre 10-20%. </t>
  </si>
  <si>
    <t xml:space="preserve">Erro &lt; 10%. </t>
  </si>
  <si>
    <t>Erro &lt; 5%.</t>
  </si>
  <si>
    <t>Erro &lt; 2%.</t>
  </si>
  <si>
    <t xml:space="preserve">Erro &lt; 5%. </t>
  </si>
  <si>
    <t xml:space="preserve">Deriva mínima (&lt; 2%). </t>
  </si>
  <si>
    <t xml:space="preserve">&lt; 30 s. </t>
  </si>
  <si>
    <t>Erro &gt; 25%</t>
  </si>
  <si>
    <t xml:space="preserve">Deriva severa (&gt; 25%) </t>
  </si>
  <si>
    <t xml:space="preserve">&gt; 5 min. </t>
  </si>
  <si>
    <t>&lt; 90% de integridade</t>
  </si>
  <si>
    <t>Dinheiro desperdiçado</t>
  </si>
  <si>
    <t>troca frequente de sensores</t>
  </si>
  <si>
    <t xml:space="preserve"> Inviável.</t>
  </si>
  <si>
    <t>Processo artesanal, inviável de replicar.</t>
  </si>
  <si>
    <t>Erro &gt; 20%</t>
  </si>
  <si>
    <t xml:space="preserve">&gt; 5 resets manuais </t>
  </si>
  <si>
    <t>exigiu reset manual</t>
  </si>
  <si>
    <t>&gt; 20% da média</t>
  </si>
  <si>
    <t>Erro 10-20%</t>
  </si>
  <si>
    <t>Perda 15-25%</t>
  </si>
  <si>
    <t xml:space="preserve">3-5 resets </t>
  </si>
  <si>
    <t>Recuperação lenta (&gt; 10 min)</t>
  </si>
  <si>
    <t xml:space="preserve">Variabilidade 10-20% </t>
  </si>
  <si>
    <t>&gt; 3h/unidade</t>
  </si>
  <si>
    <t>caixa preta</t>
  </si>
  <si>
    <t xml:space="preserve"> "Verde" com falha</t>
  </si>
  <si>
    <t>2-3h/unidade;</t>
  </si>
  <si>
    <t>Usuário leva &gt; 5 minutos</t>
  </si>
  <si>
    <t>Pontuação</t>
  </si>
  <si>
    <t>Critétio 1</t>
  </si>
  <si>
    <t>Critétio 2</t>
  </si>
  <si>
    <t>Critétio 3</t>
  </si>
  <si>
    <t>Critétio 4</t>
  </si>
  <si>
    <t>Critétio 5</t>
  </si>
  <si>
    <t>Avaliação 1</t>
  </si>
  <si>
    <t>Avaliação 2</t>
  </si>
  <si>
    <t>Avaliação 3</t>
  </si>
  <si>
    <t>Avaliação 4</t>
  </si>
  <si>
    <t>Avaliação 5</t>
  </si>
  <si>
    <t>Avaliação 6</t>
  </si>
  <si>
    <t>Avaliação 7</t>
  </si>
  <si>
    <t>Avaliação 8</t>
  </si>
  <si>
    <t>Coluna1</t>
  </si>
  <si>
    <t>Nota</t>
  </si>
  <si>
    <t>Coluna2</t>
  </si>
  <si>
    <t>Coluna3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</si>
</sst>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0.0"/>
  </numFmts>
  <fonts count="20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sz val="12"/>
      <color theme="1"/>
      <name val="&quot;Arial&quot;"/>
    </font>
    <font>
      <sz val="10"/>
      <color theme="1"/>
      <name val="Calibri"/>
      <scheme val="minor"/>
    </font>
    <font>
      <b/>
      <i/>
      <sz val="12"/>
      <color theme="1"/>
      <name val="&quot;Arial&quot;"/>
    </font>
    <font>
      <sz val="10"/>
      <name val="Arial"/>
    </font>
    <font>
      <i/>
      <sz val="12"/>
      <color theme="1"/>
      <name val="&quot;Arial&quot;"/>
    </font>
    <font>
      <b/>
      <sz val="10"/>
      <color theme="1"/>
      <name val="&quot;Arial&quot;"/>
    </font>
    <font>
      <sz val="10"/>
      <color theme="1"/>
      <name val="&quot;Arial&quot;"/>
    </font>
    <font>
      <sz val="10"/>
      <color theme="1"/>
      <name val="Calibri"/>
      <family val="2"/>
      <scheme val="minor"/>
    </font>
    <font>
      <b/>
      <sz val="12"/>
      <color theme="1"/>
      <name val="Arial"/>
    </font>
    <font>
      <b/>
      <sz val="10"/>
      <color theme="1"/>
      <name val="Calibri"/>
      <scheme val="minor"/>
    </font>
    <font>
      <b/>
      <sz val="12"/>
      <color theme="1"/>
      <name val="&quot;Arial&quot;"/>
    </font>
    <font>
      <b/>
      <sz val="12"/>
      <color theme="1"/>
      <name val="&quot;Arial&quot;,sans-serif"/>
    </font>
    <font>
      <i/>
      <sz val="10"/>
      <color theme="1"/>
      <name val="&quot;Arial&quot;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&quot;Arial&quot;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/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0" xfId="0" applyFill="1"/>
    <xf numFmtId="0" fontId="7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top"/>
    </xf>
    <xf numFmtId="0" fontId="9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9" fontId="9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0" xfId="0" applyFont="1" applyFill="1" applyBorder="1"/>
    <xf numFmtId="0" fontId="6" fillId="0" borderId="11" xfId="0" applyFont="1" applyFill="1" applyBorder="1"/>
    <xf numFmtId="0" fontId="5" fillId="0" borderId="2" xfId="0" applyFont="1" applyFill="1" applyBorder="1" applyAlignment="1">
      <alignment vertical="center" wrapText="1"/>
    </xf>
    <xf numFmtId="0" fontId="6" fillId="0" borderId="3" xfId="0" applyFont="1" applyFill="1" applyBorder="1" applyAlignment="1"/>
    <xf numFmtId="0" fontId="6" fillId="0" borderId="4" xfId="0" applyFont="1" applyFill="1" applyBorder="1" applyAlignment="1"/>
    <xf numFmtId="0" fontId="4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" fillId="2" borderId="12" xfId="0" applyFont="1" applyFill="1" applyBorder="1"/>
    <xf numFmtId="0" fontId="0" fillId="0" borderId="12" xfId="0" applyFont="1" applyBorder="1"/>
    <xf numFmtId="0" fontId="19" fillId="2" borderId="17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wrapText="1"/>
    </xf>
  </cellXfs>
  <cellStyles count="1">
    <cellStyle name="Normal" xfId="0" builtinId="0"/>
  </cellStyles>
  <dxfs count="10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Arial&quot;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25400" cap="rnd" cmpd="sng" algn="ctr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Consulta!$F$4:$F$11</c:f>
              <c:strCache>
                <c:ptCount val="8"/>
                <c:pt idx="0">
                  <c:v>Avaliação 1</c:v>
                </c:pt>
                <c:pt idx="1">
                  <c:v>Avaliação 2</c:v>
                </c:pt>
                <c:pt idx="2">
                  <c:v>Avaliação 3</c:v>
                </c:pt>
                <c:pt idx="3">
                  <c:v>Avaliação 4</c:v>
                </c:pt>
                <c:pt idx="4">
                  <c:v>Avaliação 5</c:v>
                </c:pt>
                <c:pt idx="5">
                  <c:v>Avaliação 6</c:v>
                </c:pt>
                <c:pt idx="6">
                  <c:v>Avaliação 7</c:v>
                </c:pt>
                <c:pt idx="7">
                  <c:v>Avaliação 8</c:v>
                </c:pt>
              </c:strCache>
            </c:strRef>
          </c:cat>
          <c:val>
            <c:numRef>
              <c:f>Consulta!$G$4:$G$11</c:f>
              <c:numCache>
                <c:formatCode>0.0</c:formatCode>
                <c:ptCount val="8"/>
                <c:pt idx="0">
                  <c:v>3.6</c:v>
                </c:pt>
                <c:pt idx="1">
                  <c:v>3</c:v>
                </c:pt>
                <c:pt idx="2">
                  <c:v>3.4</c:v>
                </c:pt>
                <c:pt idx="3">
                  <c:v>3.75</c:v>
                </c:pt>
                <c:pt idx="4">
                  <c:v>1.5</c:v>
                </c:pt>
                <c:pt idx="5">
                  <c:v>4.8</c:v>
                </c:pt>
                <c:pt idx="6">
                  <c:v>4.2</c:v>
                </c:pt>
                <c:pt idx="7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1-45E9-BB7E-AF9737BE9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565119"/>
        <c:axId val="577555999"/>
      </c:radarChart>
      <c:catAx>
        <c:axId val="57756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7555999"/>
        <c:crosses val="autoZero"/>
        <c:auto val="1"/>
        <c:lblAlgn val="ctr"/>
        <c:lblOffset val="100"/>
        <c:noMultiLvlLbl val="0"/>
      </c:catAx>
      <c:valAx>
        <c:axId val="57755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7565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11</xdr:row>
      <xdr:rowOff>57150</xdr:rowOff>
    </xdr:from>
    <xdr:to>
      <xdr:col>9</xdr:col>
      <xdr:colOff>171450</xdr:colOff>
      <xdr:row>25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86CAAFE-6229-7FE3-C9A4-81CF00E98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umpadiBigos\Downloads\Avalia&#231;&#227;o%20SRP%20%23%20Prot&#243;tipo%20%23%20Ambiente%20Relevante%201%20-%20Rapahel.xlsx" TargetMode="External"/><Relationship Id="rId1" Type="http://schemas.openxmlformats.org/officeDocument/2006/relationships/externalLinkPath" Target="Avalia&#231;&#227;o%20SRP%20%23%20Prot&#243;tipo%20%23%20Ambiente%20Relevante%201%20-%20Rapah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_Referencia"/>
      <sheetName val="Avaliacao_MVP"/>
    </sheetNames>
    <sheetDataSet>
      <sheetData sheetId="0"/>
      <sheetData sheetId="1">
        <row r="4">
          <cell r="F4" t="str">
            <v>Precisão</v>
          </cell>
          <cell r="G4">
            <v>3.6666666666666665</v>
          </cell>
        </row>
        <row r="5">
          <cell r="F5" t="str">
            <v>Custo-Benefício</v>
          </cell>
          <cell r="G5">
            <v>3.1666666666666665</v>
          </cell>
        </row>
        <row r="6">
          <cell r="F6" t="str">
            <v>Confiabilidade</v>
          </cell>
          <cell r="G6">
            <v>3.4</v>
          </cell>
        </row>
        <row r="7">
          <cell r="F7" t="str">
            <v>Usabilidade</v>
          </cell>
          <cell r="G7">
            <v>3.75</v>
          </cell>
        </row>
        <row r="8">
          <cell r="F8" t="str">
            <v>Eficiência Energética</v>
          </cell>
          <cell r="G8">
            <v>1.5</v>
          </cell>
        </row>
        <row r="9">
          <cell r="F9" t="str">
            <v xml:space="preserve">Robustez Estrutural </v>
          </cell>
          <cell r="G9">
            <v>4.833333333333333</v>
          </cell>
        </row>
        <row r="10">
          <cell r="F10" t="str">
            <v>Integração IoT/Nuvem</v>
          </cell>
          <cell r="G10">
            <v>4</v>
          </cell>
        </row>
        <row r="11">
          <cell r="F11" t="str">
            <v>Sustentabilidade Tecnológica</v>
          </cell>
          <cell r="G11">
            <v>3.4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34DB03-1ADF-470D-8651-D9E55F173EA9}" name="Tabela1" displayName="Tabela1" ref="A4:F9" totalsRowShown="0" headerRowDxfId="93" dataDxfId="92" headerRowBorderDxfId="100" tableBorderDxfId="101">
  <autoFilter ref="A4:F9" xr:uid="{1834DB03-1ADF-470D-8651-D9E55F173EA9}"/>
  <tableColumns count="6">
    <tableColumn id="1" xr3:uid="{900CA368-B047-45B2-BDF6-568B9C2064CD}" name="Indicadores" dataDxfId="99"/>
    <tableColumn id="2" xr3:uid="{A3EEB6C1-508B-4555-8778-CE4C1ADDA1BB}" name="Inaceitável – 1 Ponto" dataDxfId="98"/>
    <tableColumn id="3" xr3:uid="{EF42030C-69E0-4F14-A201-ECB01732D299}" name="Fraco – 2 Pontos" dataDxfId="97"/>
    <tableColumn id="4" xr3:uid="{C1B1663B-692F-49B8-81A4-ED57E7713561}" name="Aceitável – 3 Pontos" dataDxfId="96"/>
    <tableColumn id="5" xr3:uid="{76F8E271-F7ED-4BDF-9E17-3850900B687F}" name="Bom – 4 Pontos" dataDxfId="95"/>
    <tableColumn id="6" xr3:uid="{A0F35393-704C-4DEB-ABB5-8BC647AD3060}" name="Excelente – 5 Pontos" dataDxfId="9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4B9634-01D2-4BA3-B2F3-60914CBEA176}" name="Tabela2" displayName="Tabela2" ref="A13:F18" totalsRowShown="0" headerRowDxfId="31" dataDxfId="30" headerRowBorderDxfId="28" tableBorderDxfId="29">
  <autoFilter ref="A13:F18" xr:uid="{734B9634-01D2-4BA3-B2F3-60914CBEA176}"/>
  <tableColumns count="6">
    <tableColumn id="1" xr3:uid="{D66AC649-F4F0-498E-A03F-07BB05D4485B}" name="Indicadores" dataDxfId="27"/>
    <tableColumn id="2" xr3:uid="{44B266DE-1D82-42CE-A778-56103B725619}" name="Inaceitável – 1 Ponto" dataDxfId="26"/>
    <tableColumn id="3" xr3:uid="{232C0557-34EA-4C42-A842-4136D1B49C4D}" name="Fraco – 2 Pontos" dataDxfId="25"/>
    <tableColumn id="4" xr3:uid="{9630877A-55FA-4B31-AAB9-B6928602EA6C}" name="Aceitável – 3 Pontos" dataDxfId="24"/>
    <tableColumn id="5" xr3:uid="{32DADEC5-F9D5-476B-89B5-CFC1081017EC}" name="Bom – 4 Pontos" dataDxfId="23"/>
    <tableColumn id="6" xr3:uid="{971ED61F-D4A5-40E9-8918-F9A5C6B8DF55}" name="Excelente – 5 Pontos" dataDxfId="22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555D9E-935D-49DA-9970-C68D48FF42CD}" name="Tabela3" displayName="Tabela3" ref="A22:F27" totalsRowShown="0" headerRowDxfId="82" dataDxfId="83" headerRowBorderDxfId="90" tableBorderDxfId="91">
  <autoFilter ref="A22:F27" xr:uid="{86555D9E-935D-49DA-9970-C68D48FF42CD}"/>
  <tableColumns count="6">
    <tableColumn id="1" xr3:uid="{DDCDAD85-5344-4E18-9D31-53BCB5EB292B}" name="Indicadores" dataDxfId="89"/>
    <tableColumn id="2" xr3:uid="{8941182A-803E-4C63-B410-A44277257FDA}" name="Inaceitável – 1 Ponto" dataDxfId="88"/>
    <tableColumn id="3" xr3:uid="{B6D1E955-2BAA-4355-B489-58FBF39E3FC4}" name="Fraco – 2 Pontos" dataDxfId="87"/>
    <tableColumn id="4" xr3:uid="{8CE94E24-A7E0-4B3C-889D-BC050E4FCB8D}" name="Aceitável – 3 Pontos" dataDxfId="86"/>
    <tableColumn id="5" xr3:uid="{9E9541BB-61CB-4EC6-B934-7AFD7AE9F874}" name="Bom – 4 Pontos" dataDxfId="85"/>
    <tableColumn id="6" xr3:uid="{C9DA9873-A99C-4E84-A6EE-0367FAFCCD5B}" name="Excelente – 5 Pontos" dataDxfId="84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1AC1F7-BDFF-4C4A-B77D-E1B89D5C8659}" name="Tabela4" displayName="Tabela4" ref="A31:F37" totalsRowShown="0" headerRowDxfId="72" dataDxfId="73" headerRowBorderDxfId="80" tableBorderDxfId="81">
  <autoFilter ref="A31:F37" xr:uid="{651AC1F7-BDFF-4C4A-B77D-E1B89D5C8659}"/>
  <tableColumns count="6">
    <tableColumn id="1" xr3:uid="{8720A3A8-6B24-4927-8510-CE0BABDB15F4}" name="Indicadores" dataDxfId="79"/>
    <tableColumn id="2" xr3:uid="{337A76B4-AB3D-4F6D-932C-A464AAE6EDCE}" name="Inaceitável – 1 Ponto" dataDxfId="78"/>
    <tableColumn id="3" xr3:uid="{98A83030-CBFB-44D6-B713-87630CFB69E1}" name="Fraco – 2 Pontos" dataDxfId="77"/>
    <tableColumn id="4" xr3:uid="{463019A1-571D-4971-8077-824302F8C552}" name="Aceitável – 3 Pontos" dataDxfId="76"/>
    <tableColumn id="5" xr3:uid="{EBFED7D0-4EAC-4F7C-9059-2383C0054B02}" name="Bom – 4 Pontos" dataDxfId="75"/>
    <tableColumn id="6" xr3:uid="{A6A9A4F9-52A7-40F6-8A59-382A26BF6440}" name="Excelente – 5 Pontos" dataDxfId="74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686466-95E8-4D4E-AA45-025DAAFC8B20}" name="Tabela5" displayName="Tabela5" ref="A39:F45" totalsRowShown="0" headerRowDxfId="62" dataDxfId="63" headerRowBorderDxfId="70" tableBorderDxfId="71">
  <autoFilter ref="A39:F45" xr:uid="{47686466-95E8-4D4E-AA45-025DAAFC8B20}"/>
  <tableColumns count="6">
    <tableColumn id="1" xr3:uid="{36BA7F8F-2CFC-4701-A299-D744699373E4}" name="Indicadores" dataDxfId="69"/>
    <tableColumn id="2" xr3:uid="{2EF86C4B-EC2B-447E-A9EF-BA86AC3E73AA}" name="Inaceitável – 1 Ponto" dataDxfId="68"/>
    <tableColumn id="3" xr3:uid="{4064BAFA-A1A3-465F-BE93-92207C27C559}" name="Fraco – 2 Pontos" dataDxfId="67"/>
    <tableColumn id="4" xr3:uid="{6E290E11-C0E1-48AC-BD51-03E05C90AFAD}" name="Aceitável – 3 Pontos" dataDxfId="66"/>
    <tableColumn id="5" xr3:uid="{F5E9A62F-B8ED-4FE4-B0DB-824A1F38C980}" name="Bom – 4 Pontos" dataDxfId="65"/>
    <tableColumn id="6" xr3:uid="{C1D25B93-1095-42B0-AF97-B8BC143A333B}" name="Excelente – 5 Pontos" dataDxfId="64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17115E-04F4-4D2C-93BC-332FF441EA49}" name="Tabela6" displayName="Tabela6" ref="A47:F52" totalsRowShown="0" headerRowDxfId="52" dataDxfId="53" headerRowBorderDxfId="60" tableBorderDxfId="61">
  <autoFilter ref="A47:F52" xr:uid="{AB17115E-04F4-4D2C-93BC-332FF441EA49}"/>
  <tableColumns count="6">
    <tableColumn id="1" xr3:uid="{6F4DC416-BE0A-45E5-A629-3D0EA6FDEC38}" name="Indicadores" dataDxfId="59"/>
    <tableColumn id="2" xr3:uid="{645F3899-3A2D-4C44-85AC-1F6658329963}" name="Inaceitável – 1 Ponto" dataDxfId="58"/>
    <tableColumn id="3" xr3:uid="{6CAD9E8E-613D-47A4-8FD5-B34CA03D419C}" name="Fraco – 2 Pontos" dataDxfId="57"/>
    <tableColumn id="4" xr3:uid="{5D9DECA6-DFE0-4A00-B21D-A09FC1568652}" name="Aceitável – 3 Pontos" dataDxfId="56"/>
    <tableColumn id="5" xr3:uid="{88C0FF18-EBA3-4679-9D2A-53B0D697411F}" name="Bom – 4 Pontos" dataDxfId="55"/>
    <tableColumn id="6" xr3:uid="{79B2AA09-114C-402D-BAA5-E0FFD397D32A}" name="Excelente – 5 Pontos" dataDxfId="5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0644292-CF1D-4972-AB4E-20186E2B2337}" name="Tabela7" displayName="Tabela7" ref="A56:F61" totalsRowShown="0" headerRowDxfId="42" dataDxfId="43" headerRowBorderDxfId="50" tableBorderDxfId="51">
  <autoFilter ref="A56:F61" xr:uid="{C0644292-CF1D-4972-AB4E-20186E2B2337}"/>
  <tableColumns count="6">
    <tableColumn id="1" xr3:uid="{E529525C-0727-49BC-A1DE-28279DD3A0C5}" name="Indicadores" dataDxfId="49"/>
    <tableColumn id="2" xr3:uid="{CBC92659-8966-4028-B44A-BE89B8F3AB7D}" name="Inaceitável – 1 Ponto" dataDxfId="48"/>
    <tableColumn id="3" xr3:uid="{08C940CA-E689-4E68-8CFB-A17BA53BD3DA}" name="Fraco – 2 Pontos" dataDxfId="47"/>
    <tableColumn id="4" xr3:uid="{9E85DA6B-535A-4F18-B733-9596984ECB26}" name="Aceitável – 3 Pontos" dataDxfId="46"/>
    <tableColumn id="5" xr3:uid="{AE94B745-28A2-4C74-8277-A9B3DF41FD8A}" name="Bom – 4 Pontos" dataDxfId="45"/>
    <tableColumn id="6" xr3:uid="{E8AF26AA-233E-491A-9984-E40012440279}" name="Excelente – 5 Pontos" dataDxfId="44"/>
  </tableColumns>
  <tableStyleInfo name="TableStyleDark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073C0C9-CA9D-45FE-B797-0A7159DA17D4}" name="Tabela8" displayName="Tabela8" ref="A65:F70" totalsRowShown="0" headerRowDxfId="32" dataDxfId="33" headerRowBorderDxfId="40" tableBorderDxfId="41">
  <autoFilter ref="A65:F70" xr:uid="{6073C0C9-CA9D-45FE-B797-0A7159DA17D4}"/>
  <tableColumns count="6">
    <tableColumn id="1" xr3:uid="{0105F60C-ECEB-4EE8-8AEA-D0626FB8105D}" name="Indicadores" dataDxfId="39"/>
    <tableColumn id="2" xr3:uid="{107200CD-1CD5-4A61-96FB-9D8905D3DBCB}" name="Inaceitável – 1 Ponto" dataDxfId="38"/>
    <tableColumn id="3" xr3:uid="{8447D7A3-EDC7-45CF-B33A-FBC87551591B}" name="Fraco – 2 Pontos" dataDxfId="37"/>
    <tableColumn id="4" xr3:uid="{41CC2383-7988-44B2-B697-ACFBD99F5AED}" name="Aceitável – 3 Pontos" dataDxfId="36"/>
    <tableColumn id="5" xr3:uid="{C45FA078-8B37-41E7-89A2-BFBB0ABD17A0}" name="Bom – 4 Pontos" dataDxfId="35"/>
    <tableColumn id="6" xr3:uid="{08968681-412E-4CC5-9076-121CD1CD99A9}" name="Excelente – 5 Pontos" dataDxfId="34"/>
  </tableColumns>
  <tableStyleInfo name="TableStyleDark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365EB59-9D85-434F-9581-DC97C1ADD204}" name="Tabela9" displayName="Tabela9" ref="B3:D8" totalsRowShown="0" dataDxfId="18">
  <autoFilter ref="B3:D8" xr:uid="{F365EB59-9D85-434F-9581-DC97C1ADD204}"/>
  <tableColumns count="3">
    <tableColumn id="1" xr3:uid="{FA253F7D-8EBE-4289-A427-6BDC80E640BC}" name="Avaliação 1" dataDxfId="21"/>
    <tableColumn id="2" xr3:uid="{5B416A84-B797-4BFD-AB11-E02B22F3A748}" name="Nota" dataDxfId="20"/>
    <tableColumn id="3" xr3:uid="{D78A6FE3-1F8D-4751-878E-EA3E31B63A1A}" name="Pontuação" dataDxfId="19">
      <calculatedColumnFormula array="1">_xlfn.IFS(C4=1,Dados!B5,C4=2,Dados!C5,C4=3,Dados!D5,C4=4,Dados!E5,C4=5,Dados!F5)</calculatedColumnFormula>
    </tableColumn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76AECC3-455E-4C27-A32D-ACE2BC43A852}" name="Tabela10" displayName="Tabela10" ref="B11:D17" totalsRowShown="0">
  <autoFilter ref="B11:D17" xr:uid="{476AECC3-455E-4C27-A32D-ACE2BC43A852}"/>
  <tableColumns count="3">
    <tableColumn id="1" xr3:uid="{893BA693-E236-4A88-96C2-E3656600CD20}" name="Coluna1" dataDxfId="17"/>
    <tableColumn id="2" xr3:uid="{B0DD568E-AC95-411F-A374-44D1F137E347}" name="Coluna2" dataDxfId="16"/>
    <tableColumn id="3" xr3:uid="{1E6502F6-4BC9-4F2C-B456-53789E6E2A69}" name="Coluna3" dataDxfId="15">
      <calculatedColumnFormula array="1">_xlfn.IFS(C12=1,Dados!B13,C12=2,Dados!C13,C12=3,Dados!D13,C12=4,Dados!E13,C12=5,Dados!F13)</calculatedColumnFormula>
    </tableColumn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BDB7CAB-EEA3-403B-8F80-FD45F2CF7DE3}" name="Tabela12" displayName="Tabela12" ref="B28:D33" totalsRowShown="0">
  <autoFilter ref="B28:D33" xr:uid="{5BDB7CAB-EEA3-403B-8F80-FD45F2CF7DE3}"/>
  <tableColumns count="3">
    <tableColumn id="1" xr3:uid="{E84B4688-B7EE-4F4A-B051-8E16879C14C6}" name="Avaliação 4" dataDxfId="14"/>
    <tableColumn id="2" xr3:uid="{DA3D5596-F397-4D06-B829-7FD5E1709DDC}" name="Coluna1" dataDxfId="13"/>
    <tableColumn id="3" xr3:uid="{05B436BC-D3C5-457D-8D6D-60C635A03CB1}" name="Pontuação" dataDxfId="12">
      <calculatedColumnFormula array="1">_xlfn.IFS(C29=1,Dados!B32,C29=2,Dados!C32,C29=3,Dados!D32,C29=4,Dados!E32,C29=5,Dados!F32)</calculatedColumnFormula>
    </tableColumn>
  </tableColumns>
  <tableStyleInfo name="TableStyleLight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8DD899A-8683-4190-8CDF-AF49AF5F86B0}" name="Tabela13" displayName="Tabela13" ref="B35:D40" totalsRowShown="0">
  <autoFilter ref="B35:D40" xr:uid="{E8DD899A-8683-4190-8CDF-AF49AF5F86B0}"/>
  <tableColumns count="3">
    <tableColumn id="1" xr3:uid="{2A9B6D0B-5FF0-4918-B54D-4FEF15E36EEE}" name="Avaliação 5" dataDxfId="11"/>
    <tableColumn id="2" xr3:uid="{031B0A63-458C-4BC5-B4A7-453E723FF296}" name="Coluna1" dataDxfId="10"/>
    <tableColumn id="3" xr3:uid="{2B04FA11-2185-457B-9116-C78E866B4C2E}" name="Pontuação" dataDxfId="9">
      <calculatedColumnFormula array="1">_xlfn.IFS(C36=1,Dados!B40,C36=2,Dados!C40,C36=3,Dados!D40,C36=4,Dados!E40,C36=5,Dados!F40)</calculatedColumnFormula>
    </tableColumn>
  </tableColumns>
  <tableStyleInfo name="TableStyleLight1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8AF6149-9711-4C7F-963A-51F01B9C8EB7}" name="Tabela14" displayName="Tabela14" ref="B42:D47" totalsRowShown="0">
  <autoFilter ref="B42:D47" xr:uid="{E8AF6149-9711-4C7F-963A-51F01B9C8EB7}"/>
  <tableColumns count="3">
    <tableColumn id="1" xr3:uid="{5B9F8108-1CAC-41AC-B3E2-E707B2145FF1}" name="Avaliação 6" dataDxfId="8"/>
    <tableColumn id="2" xr3:uid="{660604F2-84EE-45F1-8310-D6FC793EAF20}" name="Coluna1" dataDxfId="7"/>
    <tableColumn id="3" xr3:uid="{85DE6FDC-2BBA-41DF-90AE-611A3B47E504}" name="Pontuação" dataDxfId="6">
      <calculatedColumnFormula array="1">_xlfn.IFS(C43=1,Dados!B48,C43=2,Dados!C48,C43=3,Dados!D48,C43=4,Dados!E48,C43=5,Dados!F48)</calculatedColumnFormula>
    </tableColumn>
  </tableColumns>
  <tableStyleInfo name="TableStyleLight1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929F95E-F405-4776-92F7-0CF326163E41}" name="Tabela15" displayName="Tabela15" ref="B49:D54" totalsRowShown="0">
  <autoFilter ref="B49:D54" xr:uid="{3929F95E-F405-4776-92F7-0CF326163E41}"/>
  <tableColumns count="3">
    <tableColumn id="1" xr3:uid="{751AADD3-4A65-4EBB-9B68-DA2BEFDCAB51}" name="Avaliação 7" dataDxfId="5"/>
    <tableColumn id="2" xr3:uid="{CF787E0C-F25F-453B-A88B-FD2125D38B42}" name="Coluna1" dataDxfId="4"/>
    <tableColumn id="3" xr3:uid="{7C16FFE3-EFAE-4668-97D7-67A0AF9BF0E6}" name="Pontuação" dataDxfId="3">
      <calculatedColumnFormula array="1">_xlfn.IFS(C50=1,Dados!B57,C50=2,Dados!C57,C50=3,Dados!D57,C50=4,Dados!E57,C50=5,Dados!F57)</calculatedColumnFormula>
    </tableColumn>
  </tableColumns>
  <tableStyleInfo name="TableStyleLight1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76EB030-3C00-40D2-AD21-274B9E9428A7}" name="Tabela17" displayName="Tabela17" ref="B56:D61" totalsRowShown="0">
  <autoFilter ref="B56:D61" xr:uid="{276EB030-3C00-40D2-AD21-274B9E9428A7}"/>
  <tableColumns count="3">
    <tableColumn id="1" xr3:uid="{0C2146C4-581C-44D8-B438-670461C4FE78}" name="Avaliação 8" dataDxfId="2"/>
    <tableColumn id="2" xr3:uid="{DFD0B902-2D80-4301-88CA-E15D7E9B71E9}" name="Coluna1" dataDxfId="1"/>
    <tableColumn id="3" xr3:uid="{9A25E8CD-76CB-432D-8092-9E0F550F4F69}" name="Pontuação" dataDxfId="0">
      <calculatedColumnFormula array="1">_xlfn.IFS(C57=1,Dados!B66,C57=2,Dados!C66,C57=3,Dados!D66,C57=4,Dados!E66,C57=5,Dados!F66)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2" Type="http://schemas.openxmlformats.org/officeDocument/2006/relationships/table" Target="../tables/table9.xml"/><Relationship Id="rId1" Type="http://schemas.openxmlformats.org/officeDocument/2006/relationships/drawing" Target="../drawings/drawing1.xml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>
      <selection activeCell="F14" sqref="F14"/>
    </sheetView>
  </sheetViews>
  <sheetFormatPr defaultRowHeight="15"/>
  <cols>
    <col min="1" max="1" width="11.7109375" bestFit="1" customWidth="1"/>
    <col min="2" max="2" width="12.42578125" bestFit="1" customWidth="1"/>
    <col min="3" max="3" width="20.5703125" bestFit="1" customWidth="1"/>
    <col min="4" max="4" width="16.140625" bestFit="1" customWidth="1"/>
    <col min="5" max="5" width="18" bestFit="1" customWidth="1"/>
  </cols>
  <sheetData>
    <row r="1" spans="1:5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</row>
    <row r="2" spans="1:5">
      <c r="A2" t="s">
        <v>46</v>
      </c>
      <c r="B2" t="s">
        <v>147</v>
      </c>
      <c r="C2">
        <v>15.2</v>
      </c>
      <c r="D2" t="s">
        <v>148</v>
      </c>
      <c r="E2">
        <v>0.12</v>
      </c>
    </row>
    <row r="3" spans="1:5">
      <c r="A3" t="s">
        <v>50</v>
      </c>
      <c r="B3" t="s">
        <v>149</v>
      </c>
      <c r="C3">
        <v>8.4</v>
      </c>
      <c r="D3" t="s">
        <v>150</v>
      </c>
      <c r="E3">
        <v>0.05</v>
      </c>
    </row>
    <row r="4" spans="1:5">
      <c r="A4" t="s">
        <v>53</v>
      </c>
      <c r="B4" t="s">
        <v>151</v>
      </c>
      <c r="C4">
        <v>45</v>
      </c>
      <c r="D4" t="s">
        <v>152</v>
      </c>
      <c r="E4">
        <v>0.18</v>
      </c>
    </row>
    <row r="5" spans="1:5">
      <c r="A5" t="s">
        <v>57</v>
      </c>
      <c r="B5" t="s">
        <v>153</v>
      </c>
      <c r="C5">
        <v>12.1</v>
      </c>
      <c r="D5" t="s">
        <v>152</v>
      </c>
      <c r="E5">
        <v>0.09</v>
      </c>
    </row>
    <row r="6" spans="1:5">
      <c r="A6" t="s">
        <v>60</v>
      </c>
      <c r="B6" t="s">
        <v>154</v>
      </c>
      <c r="C6">
        <v>22.5</v>
      </c>
      <c r="D6" t="s">
        <v>150</v>
      </c>
      <c r="E6">
        <v>7.0000000000000007E-2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0"/>
  <sheetViews>
    <sheetView workbookViewId="0">
      <selection activeCell="E9" sqref="E9"/>
    </sheetView>
  </sheetViews>
  <sheetFormatPr defaultRowHeight="15"/>
  <cols>
    <col min="1" max="1" width="9.85546875" bestFit="1" customWidth="1"/>
    <col min="2" max="2" width="10" bestFit="1" customWidth="1"/>
    <col min="3" max="3" width="18.28515625" bestFit="1" customWidth="1"/>
    <col min="4" max="4" width="10" bestFit="1" customWidth="1"/>
    <col min="5" max="5" width="10.85546875" bestFit="1" customWidth="1"/>
    <col min="6" max="6" width="12.28515625" bestFit="1" customWidth="1"/>
  </cols>
  <sheetData>
    <row r="1" spans="1:6">
      <c r="A1" s="1" t="s">
        <v>155</v>
      </c>
      <c r="B1" s="1" t="s">
        <v>0</v>
      </c>
      <c r="C1" s="1" t="s">
        <v>156</v>
      </c>
      <c r="D1" s="1" t="s">
        <v>157</v>
      </c>
      <c r="E1" s="1" t="s">
        <v>158</v>
      </c>
      <c r="F1" s="1" t="s">
        <v>159</v>
      </c>
    </row>
    <row r="2" spans="1:6">
      <c r="A2" t="s">
        <v>160</v>
      </c>
      <c r="B2">
        <v>1</v>
      </c>
      <c r="C2" s="2">
        <v>45640</v>
      </c>
      <c r="D2" t="s">
        <v>161</v>
      </c>
      <c r="E2" t="s">
        <v>162</v>
      </c>
      <c r="F2" t="s">
        <v>163</v>
      </c>
    </row>
    <row r="3" spans="1:6">
      <c r="A3" t="s">
        <v>164</v>
      </c>
      <c r="B3">
        <v>1</v>
      </c>
      <c r="C3" s="2">
        <v>45413</v>
      </c>
      <c r="D3" t="s">
        <v>161</v>
      </c>
      <c r="E3" t="s">
        <v>165</v>
      </c>
      <c r="F3" t="s">
        <v>163</v>
      </c>
    </row>
    <row r="4" spans="1:6">
      <c r="A4" t="s">
        <v>166</v>
      </c>
      <c r="B4">
        <v>1</v>
      </c>
      <c r="C4" s="2">
        <v>45651</v>
      </c>
      <c r="D4" t="s">
        <v>161</v>
      </c>
      <c r="E4" t="s">
        <v>167</v>
      </c>
      <c r="F4" t="s">
        <v>163</v>
      </c>
    </row>
    <row r="5" spans="1:6">
      <c r="A5" t="s">
        <v>168</v>
      </c>
      <c r="B5">
        <v>1</v>
      </c>
      <c r="C5" s="2">
        <v>45585</v>
      </c>
      <c r="D5" t="s">
        <v>169</v>
      </c>
      <c r="E5" t="s">
        <v>162</v>
      </c>
      <c r="F5" t="s">
        <v>170</v>
      </c>
    </row>
    <row r="6" spans="1:6">
      <c r="A6" t="s">
        <v>171</v>
      </c>
      <c r="B6">
        <v>1</v>
      </c>
      <c r="C6" s="2">
        <v>45605</v>
      </c>
      <c r="D6" t="s">
        <v>172</v>
      </c>
      <c r="E6" t="s">
        <v>162</v>
      </c>
      <c r="F6" t="s">
        <v>163</v>
      </c>
    </row>
    <row r="7" spans="1:6">
      <c r="A7" t="s">
        <v>173</v>
      </c>
      <c r="B7">
        <v>1</v>
      </c>
      <c r="C7" s="2">
        <v>45461</v>
      </c>
      <c r="D7" t="s">
        <v>174</v>
      </c>
      <c r="E7" t="s">
        <v>162</v>
      </c>
      <c r="F7" t="s">
        <v>163</v>
      </c>
    </row>
    <row r="8" spans="1:6">
      <c r="A8" t="s">
        <v>175</v>
      </c>
      <c r="B8">
        <v>1</v>
      </c>
      <c r="C8" s="2">
        <v>45466</v>
      </c>
      <c r="D8" t="s">
        <v>161</v>
      </c>
      <c r="E8" t="s">
        <v>162</v>
      </c>
      <c r="F8" t="s">
        <v>163</v>
      </c>
    </row>
    <row r="9" spans="1:6">
      <c r="A9" t="s">
        <v>176</v>
      </c>
      <c r="B9">
        <v>1</v>
      </c>
      <c r="C9" s="2">
        <v>45422</v>
      </c>
      <c r="D9" t="s">
        <v>172</v>
      </c>
      <c r="E9" t="s">
        <v>165</v>
      </c>
      <c r="F9" t="s">
        <v>163</v>
      </c>
    </row>
    <row r="10" spans="1:6">
      <c r="A10" t="s">
        <v>177</v>
      </c>
      <c r="B10">
        <v>1</v>
      </c>
      <c r="C10" s="2">
        <v>45565</v>
      </c>
      <c r="D10" t="s">
        <v>174</v>
      </c>
      <c r="E10" t="s">
        <v>178</v>
      </c>
      <c r="F10" t="s">
        <v>170</v>
      </c>
    </row>
    <row r="11" spans="1:6">
      <c r="A11" t="s">
        <v>179</v>
      </c>
      <c r="B11">
        <v>1</v>
      </c>
      <c r="C11" s="2">
        <v>45556</v>
      </c>
      <c r="D11" t="s">
        <v>169</v>
      </c>
      <c r="E11" t="s">
        <v>178</v>
      </c>
      <c r="F11" t="s">
        <v>163</v>
      </c>
    </row>
    <row r="12" spans="1:6">
      <c r="A12" t="s">
        <v>180</v>
      </c>
      <c r="B12">
        <v>1</v>
      </c>
      <c r="C12" s="2">
        <v>45555</v>
      </c>
      <c r="D12" t="s">
        <v>161</v>
      </c>
      <c r="E12" t="s">
        <v>167</v>
      </c>
      <c r="F12" t="s">
        <v>163</v>
      </c>
    </row>
    <row r="13" spans="1:6">
      <c r="A13" t="s">
        <v>181</v>
      </c>
      <c r="B13">
        <v>2</v>
      </c>
      <c r="C13" s="2">
        <v>45293</v>
      </c>
      <c r="D13" t="s">
        <v>169</v>
      </c>
      <c r="E13" t="s">
        <v>162</v>
      </c>
      <c r="F13" t="s">
        <v>163</v>
      </c>
    </row>
    <row r="14" spans="1:6">
      <c r="A14" t="s">
        <v>182</v>
      </c>
      <c r="B14">
        <v>3</v>
      </c>
      <c r="C14" s="2">
        <v>45335</v>
      </c>
      <c r="D14" t="s">
        <v>169</v>
      </c>
      <c r="E14" t="s">
        <v>167</v>
      </c>
      <c r="F14" t="s">
        <v>183</v>
      </c>
    </row>
    <row r="15" spans="1:6">
      <c r="A15" t="s">
        <v>184</v>
      </c>
      <c r="B15">
        <v>3</v>
      </c>
      <c r="C15" s="2">
        <v>45595</v>
      </c>
      <c r="D15" t="s">
        <v>174</v>
      </c>
      <c r="E15" t="s">
        <v>178</v>
      </c>
      <c r="F15" t="s">
        <v>170</v>
      </c>
    </row>
    <row r="16" spans="1:6">
      <c r="A16" t="s">
        <v>185</v>
      </c>
      <c r="B16">
        <v>3</v>
      </c>
      <c r="C16" s="2">
        <v>45499</v>
      </c>
      <c r="D16" t="s">
        <v>172</v>
      </c>
      <c r="E16" t="s">
        <v>167</v>
      </c>
      <c r="F16" t="s">
        <v>163</v>
      </c>
    </row>
    <row r="17" spans="1:6">
      <c r="A17" t="s">
        <v>186</v>
      </c>
      <c r="B17">
        <v>3</v>
      </c>
      <c r="C17" s="2">
        <v>45508</v>
      </c>
      <c r="D17" t="s">
        <v>174</v>
      </c>
      <c r="E17" t="s">
        <v>162</v>
      </c>
      <c r="F17" t="s">
        <v>163</v>
      </c>
    </row>
    <row r="18" spans="1:6">
      <c r="A18" t="s">
        <v>187</v>
      </c>
      <c r="B18">
        <v>3</v>
      </c>
      <c r="C18" s="2">
        <v>45306</v>
      </c>
      <c r="D18" t="s">
        <v>172</v>
      </c>
      <c r="E18" t="s">
        <v>178</v>
      </c>
      <c r="F18" t="s">
        <v>163</v>
      </c>
    </row>
    <row r="19" spans="1:6">
      <c r="A19" t="s">
        <v>188</v>
      </c>
      <c r="B19">
        <v>3</v>
      </c>
      <c r="C19" s="2">
        <v>45635</v>
      </c>
      <c r="D19" t="s">
        <v>189</v>
      </c>
      <c r="E19" t="s">
        <v>162</v>
      </c>
      <c r="F19" t="s">
        <v>163</v>
      </c>
    </row>
    <row r="20" spans="1:6">
      <c r="A20" t="s">
        <v>190</v>
      </c>
      <c r="B20">
        <v>3</v>
      </c>
      <c r="C20" s="2">
        <v>45430</v>
      </c>
      <c r="D20" t="s">
        <v>161</v>
      </c>
      <c r="E20" t="s">
        <v>178</v>
      </c>
      <c r="F20" t="s">
        <v>183</v>
      </c>
    </row>
    <row r="21" spans="1:6">
      <c r="A21" t="s">
        <v>191</v>
      </c>
      <c r="B21">
        <v>3</v>
      </c>
      <c r="C21" s="2">
        <v>45580</v>
      </c>
      <c r="D21" t="s">
        <v>161</v>
      </c>
      <c r="E21" t="s">
        <v>178</v>
      </c>
      <c r="F21" t="s">
        <v>170</v>
      </c>
    </row>
    <row r="22" spans="1:6">
      <c r="A22" t="s">
        <v>192</v>
      </c>
      <c r="B22">
        <v>3</v>
      </c>
      <c r="C22" s="2">
        <v>45332</v>
      </c>
      <c r="D22" t="s">
        <v>174</v>
      </c>
      <c r="E22" t="s">
        <v>165</v>
      </c>
      <c r="F22" t="s">
        <v>183</v>
      </c>
    </row>
    <row r="23" spans="1:6">
      <c r="A23" t="s">
        <v>193</v>
      </c>
      <c r="B23">
        <v>3</v>
      </c>
      <c r="C23" s="2">
        <v>45324</v>
      </c>
      <c r="D23" t="s">
        <v>172</v>
      </c>
      <c r="E23" t="s">
        <v>165</v>
      </c>
      <c r="F23" t="s">
        <v>163</v>
      </c>
    </row>
    <row r="24" spans="1:6">
      <c r="A24" t="s">
        <v>194</v>
      </c>
      <c r="B24">
        <v>3</v>
      </c>
      <c r="C24" s="2">
        <v>45326</v>
      </c>
      <c r="D24" t="s">
        <v>189</v>
      </c>
      <c r="E24" t="s">
        <v>165</v>
      </c>
      <c r="F24" t="s">
        <v>163</v>
      </c>
    </row>
    <row r="25" spans="1:6">
      <c r="A25" t="s">
        <v>195</v>
      </c>
      <c r="B25">
        <v>3</v>
      </c>
      <c r="C25" s="2">
        <v>45422</v>
      </c>
      <c r="D25" t="s">
        <v>189</v>
      </c>
      <c r="E25" t="s">
        <v>178</v>
      </c>
      <c r="F25" t="s">
        <v>163</v>
      </c>
    </row>
    <row r="26" spans="1:6">
      <c r="A26" t="s">
        <v>196</v>
      </c>
      <c r="B26">
        <v>3</v>
      </c>
      <c r="C26" s="2">
        <v>45650</v>
      </c>
      <c r="D26" t="s">
        <v>161</v>
      </c>
      <c r="E26" t="s">
        <v>178</v>
      </c>
      <c r="F26" t="s">
        <v>183</v>
      </c>
    </row>
    <row r="27" spans="1:6">
      <c r="A27" t="s">
        <v>197</v>
      </c>
      <c r="B27">
        <v>3</v>
      </c>
      <c r="C27" s="2">
        <v>45333</v>
      </c>
      <c r="D27" t="s">
        <v>174</v>
      </c>
      <c r="E27" t="s">
        <v>178</v>
      </c>
      <c r="F27" t="s">
        <v>163</v>
      </c>
    </row>
    <row r="28" spans="1:6">
      <c r="A28" t="s">
        <v>198</v>
      </c>
      <c r="B28">
        <v>3</v>
      </c>
      <c r="C28" s="2">
        <v>45522</v>
      </c>
      <c r="D28" t="s">
        <v>189</v>
      </c>
      <c r="E28" t="s">
        <v>162</v>
      </c>
      <c r="F28" t="s">
        <v>163</v>
      </c>
    </row>
    <row r="29" spans="1:6">
      <c r="A29" t="s">
        <v>199</v>
      </c>
      <c r="B29">
        <v>3</v>
      </c>
      <c r="C29" s="2">
        <v>45513</v>
      </c>
      <c r="D29" t="s">
        <v>172</v>
      </c>
      <c r="E29" t="s">
        <v>165</v>
      </c>
      <c r="F29" t="s">
        <v>163</v>
      </c>
    </row>
    <row r="30" spans="1:6">
      <c r="A30" t="s">
        <v>200</v>
      </c>
      <c r="B30">
        <v>3</v>
      </c>
      <c r="C30" s="2">
        <v>45462</v>
      </c>
      <c r="D30" t="s">
        <v>172</v>
      </c>
      <c r="E30" t="s">
        <v>162</v>
      </c>
      <c r="F30" t="s">
        <v>170</v>
      </c>
    </row>
    <row r="31" spans="1:6">
      <c r="A31" t="s">
        <v>201</v>
      </c>
      <c r="B31">
        <v>3</v>
      </c>
      <c r="C31" s="2">
        <v>45478</v>
      </c>
      <c r="D31" t="s">
        <v>161</v>
      </c>
      <c r="E31" t="s">
        <v>167</v>
      </c>
      <c r="F31" t="s">
        <v>183</v>
      </c>
    </row>
    <row r="32" spans="1:6">
      <c r="A32" t="s">
        <v>202</v>
      </c>
      <c r="B32">
        <v>3</v>
      </c>
      <c r="C32" s="2">
        <v>45353</v>
      </c>
      <c r="D32" t="s">
        <v>189</v>
      </c>
      <c r="E32" t="s">
        <v>178</v>
      </c>
      <c r="F32" t="s">
        <v>183</v>
      </c>
    </row>
    <row r="33" spans="1:6">
      <c r="A33" t="s">
        <v>203</v>
      </c>
      <c r="B33">
        <v>4</v>
      </c>
      <c r="C33" s="2">
        <v>45631</v>
      </c>
      <c r="D33" t="s">
        <v>161</v>
      </c>
      <c r="E33" t="s">
        <v>162</v>
      </c>
      <c r="F33" t="s">
        <v>183</v>
      </c>
    </row>
    <row r="34" spans="1:6">
      <c r="A34" t="s">
        <v>204</v>
      </c>
      <c r="B34">
        <v>4</v>
      </c>
      <c r="C34" s="2">
        <v>45522</v>
      </c>
      <c r="D34" t="s">
        <v>189</v>
      </c>
      <c r="E34" t="s">
        <v>178</v>
      </c>
      <c r="F34" t="s">
        <v>163</v>
      </c>
    </row>
    <row r="35" spans="1:6">
      <c r="A35" t="s">
        <v>205</v>
      </c>
      <c r="B35">
        <v>4</v>
      </c>
      <c r="C35" s="2">
        <v>45412</v>
      </c>
      <c r="D35" t="s">
        <v>174</v>
      </c>
      <c r="E35" t="s">
        <v>178</v>
      </c>
      <c r="F35" t="s">
        <v>183</v>
      </c>
    </row>
    <row r="36" spans="1:6">
      <c r="A36" t="s">
        <v>206</v>
      </c>
      <c r="B36">
        <v>5</v>
      </c>
      <c r="C36" s="2">
        <v>45428</v>
      </c>
      <c r="D36" t="s">
        <v>172</v>
      </c>
      <c r="E36" t="s">
        <v>178</v>
      </c>
      <c r="F36" t="s">
        <v>163</v>
      </c>
    </row>
    <row r="37" spans="1:6">
      <c r="A37" t="s">
        <v>207</v>
      </c>
      <c r="B37">
        <v>5</v>
      </c>
      <c r="C37" s="2">
        <v>45606</v>
      </c>
      <c r="D37" t="s">
        <v>189</v>
      </c>
      <c r="E37" t="s">
        <v>162</v>
      </c>
      <c r="F37" t="s">
        <v>163</v>
      </c>
    </row>
    <row r="38" spans="1:6">
      <c r="A38" t="s">
        <v>208</v>
      </c>
      <c r="B38">
        <v>5</v>
      </c>
      <c r="C38" s="2">
        <v>45343</v>
      </c>
      <c r="D38" t="s">
        <v>174</v>
      </c>
      <c r="E38" t="s">
        <v>167</v>
      </c>
      <c r="F38" t="s">
        <v>163</v>
      </c>
    </row>
    <row r="39" spans="1:6">
      <c r="A39" t="s">
        <v>209</v>
      </c>
      <c r="B39">
        <v>5</v>
      </c>
      <c r="C39" s="2">
        <v>45404</v>
      </c>
      <c r="D39" t="s">
        <v>172</v>
      </c>
      <c r="E39" t="s">
        <v>178</v>
      </c>
      <c r="F39" t="s">
        <v>170</v>
      </c>
    </row>
    <row r="40" spans="1:6">
      <c r="A40" t="s">
        <v>210</v>
      </c>
      <c r="B40">
        <v>5</v>
      </c>
      <c r="C40" s="2">
        <v>45293</v>
      </c>
      <c r="D40" t="s">
        <v>169</v>
      </c>
      <c r="E40" t="s">
        <v>162</v>
      </c>
      <c r="F40" t="s">
        <v>163</v>
      </c>
    </row>
    <row r="41" spans="1:6">
      <c r="A41" t="s">
        <v>211</v>
      </c>
      <c r="B41">
        <v>5</v>
      </c>
      <c r="C41" s="2">
        <v>45516</v>
      </c>
      <c r="D41" t="s">
        <v>189</v>
      </c>
      <c r="E41" t="s">
        <v>165</v>
      </c>
      <c r="F41" t="s">
        <v>163</v>
      </c>
    </row>
    <row r="42" spans="1:6">
      <c r="A42" t="s">
        <v>212</v>
      </c>
      <c r="B42">
        <v>5</v>
      </c>
      <c r="C42" s="2">
        <v>45463</v>
      </c>
      <c r="D42" t="s">
        <v>169</v>
      </c>
      <c r="E42" t="s">
        <v>162</v>
      </c>
      <c r="F42" t="s">
        <v>163</v>
      </c>
    </row>
    <row r="43" spans="1:6">
      <c r="A43" t="s">
        <v>213</v>
      </c>
      <c r="B43">
        <v>5</v>
      </c>
      <c r="C43" s="2">
        <v>45615</v>
      </c>
      <c r="D43" t="s">
        <v>161</v>
      </c>
      <c r="E43" t="s">
        <v>162</v>
      </c>
      <c r="F43" t="s">
        <v>163</v>
      </c>
    </row>
    <row r="44" spans="1:6">
      <c r="A44" t="s">
        <v>214</v>
      </c>
      <c r="B44">
        <v>5</v>
      </c>
      <c r="C44" s="2">
        <v>45585</v>
      </c>
      <c r="D44" t="s">
        <v>172</v>
      </c>
      <c r="E44" t="s">
        <v>162</v>
      </c>
      <c r="F44" t="s">
        <v>170</v>
      </c>
    </row>
    <row r="45" spans="1:6">
      <c r="A45" t="s">
        <v>215</v>
      </c>
      <c r="B45">
        <v>5</v>
      </c>
      <c r="C45" s="2">
        <v>45531</v>
      </c>
      <c r="D45" t="s">
        <v>189</v>
      </c>
      <c r="E45" t="s">
        <v>178</v>
      </c>
      <c r="F45" t="s">
        <v>163</v>
      </c>
    </row>
    <row r="46" spans="1:6">
      <c r="A46" t="s">
        <v>216</v>
      </c>
      <c r="B46">
        <v>5</v>
      </c>
      <c r="C46" s="2">
        <v>45640</v>
      </c>
      <c r="D46" t="s">
        <v>161</v>
      </c>
      <c r="E46" t="s">
        <v>162</v>
      </c>
      <c r="F46" t="s">
        <v>163</v>
      </c>
    </row>
    <row r="47" spans="1:6">
      <c r="A47" t="s">
        <v>217</v>
      </c>
      <c r="B47">
        <v>6</v>
      </c>
      <c r="C47" s="2">
        <v>45637</v>
      </c>
      <c r="D47" t="s">
        <v>161</v>
      </c>
      <c r="E47" t="s">
        <v>165</v>
      </c>
      <c r="F47" t="s">
        <v>163</v>
      </c>
    </row>
    <row r="48" spans="1:6">
      <c r="A48" t="s">
        <v>218</v>
      </c>
      <c r="B48">
        <v>6</v>
      </c>
      <c r="C48" s="2">
        <v>45490</v>
      </c>
      <c r="D48" t="s">
        <v>174</v>
      </c>
      <c r="E48" t="s">
        <v>178</v>
      </c>
      <c r="F48" t="s">
        <v>163</v>
      </c>
    </row>
    <row r="49" spans="1:6">
      <c r="A49" t="s">
        <v>219</v>
      </c>
      <c r="B49">
        <v>6</v>
      </c>
      <c r="C49" s="2">
        <v>45330</v>
      </c>
      <c r="D49" t="s">
        <v>169</v>
      </c>
      <c r="E49" t="s">
        <v>162</v>
      </c>
      <c r="F49" t="s">
        <v>163</v>
      </c>
    </row>
    <row r="50" spans="1:6">
      <c r="A50" t="s">
        <v>220</v>
      </c>
      <c r="B50">
        <v>7</v>
      </c>
      <c r="C50" s="2">
        <v>45442</v>
      </c>
      <c r="D50" t="s">
        <v>169</v>
      </c>
      <c r="E50" t="s">
        <v>165</v>
      </c>
      <c r="F50" t="s">
        <v>163</v>
      </c>
    </row>
    <row r="51" spans="1:6">
      <c r="A51" t="s">
        <v>221</v>
      </c>
      <c r="B51">
        <v>7</v>
      </c>
      <c r="C51" s="2">
        <v>45351</v>
      </c>
      <c r="D51" t="s">
        <v>189</v>
      </c>
      <c r="E51" t="s">
        <v>167</v>
      </c>
      <c r="F51" t="s">
        <v>170</v>
      </c>
    </row>
    <row r="52" spans="1:6">
      <c r="A52" t="s">
        <v>222</v>
      </c>
      <c r="B52">
        <v>7</v>
      </c>
      <c r="C52" s="2">
        <v>45328</v>
      </c>
      <c r="D52" t="s">
        <v>161</v>
      </c>
      <c r="E52" t="s">
        <v>165</v>
      </c>
      <c r="F52" t="s">
        <v>163</v>
      </c>
    </row>
    <row r="53" spans="1:6">
      <c r="A53" t="s">
        <v>223</v>
      </c>
      <c r="B53">
        <v>7</v>
      </c>
      <c r="C53" s="2">
        <v>45595</v>
      </c>
      <c r="D53" t="s">
        <v>161</v>
      </c>
      <c r="E53" t="s">
        <v>162</v>
      </c>
      <c r="F53" t="s">
        <v>183</v>
      </c>
    </row>
    <row r="54" spans="1:6">
      <c r="A54" t="s">
        <v>224</v>
      </c>
      <c r="B54">
        <v>7</v>
      </c>
      <c r="C54" s="2">
        <v>45407</v>
      </c>
      <c r="D54" t="s">
        <v>161</v>
      </c>
      <c r="E54" t="s">
        <v>178</v>
      </c>
      <c r="F54" t="s">
        <v>163</v>
      </c>
    </row>
    <row r="55" spans="1:6">
      <c r="A55" t="s">
        <v>225</v>
      </c>
      <c r="B55">
        <v>7</v>
      </c>
      <c r="C55" s="2">
        <v>45631</v>
      </c>
      <c r="D55" t="s">
        <v>161</v>
      </c>
      <c r="E55" t="s">
        <v>162</v>
      </c>
      <c r="F55" t="s">
        <v>163</v>
      </c>
    </row>
    <row r="56" spans="1:6">
      <c r="A56" t="s">
        <v>226</v>
      </c>
      <c r="B56">
        <v>7</v>
      </c>
      <c r="C56" s="2">
        <v>45444</v>
      </c>
      <c r="D56" t="s">
        <v>172</v>
      </c>
      <c r="E56" t="s">
        <v>167</v>
      </c>
      <c r="F56" t="s">
        <v>163</v>
      </c>
    </row>
    <row r="57" spans="1:6">
      <c r="A57" t="s">
        <v>227</v>
      </c>
      <c r="B57">
        <v>7</v>
      </c>
      <c r="C57" s="2">
        <v>45601</v>
      </c>
      <c r="D57" t="s">
        <v>161</v>
      </c>
      <c r="E57" t="s">
        <v>162</v>
      </c>
      <c r="F57" t="s">
        <v>170</v>
      </c>
    </row>
    <row r="58" spans="1:6">
      <c r="A58" t="s">
        <v>228</v>
      </c>
      <c r="B58">
        <v>7</v>
      </c>
      <c r="C58" s="2">
        <v>45580</v>
      </c>
      <c r="D58" t="s">
        <v>172</v>
      </c>
      <c r="E58" t="s">
        <v>162</v>
      </c>
      <c r="F58" t="s">
        <v>183</v>
      </c>
    </row>
    <row r="59" spans="1:6">
      <c r="A59" t="s">
        <v>229</v>
      </c>
      <c r="B59">
        <v>7</v>
      </c>
      <c r="C59" s="2">
        <v>45426</v>
      </c>
      <c r="D59" t="s">
        <v>161</v>
      </c>
      <c r="E59" t="s">
        <v>178</v>
      </c>
      <c r="F59" t="s">
        <v>163</v>
      </c>
    </row>
    <row r="60" spans="1:6">
      <c r="A60" t="s">
        <v>230</v>
      </c>
      <c r="B60">
        <v>7</v>
      </c>
      <c r="C60" s="2">
        <v>45313</v>
      </c>
      <c r="D60" t="s">
        <v>172</v>
      </c>
      <c r="E60" t="s">
        <v>165</v>
      </c>
      <c r="F60" t="s">
        <v>183</v>
      </c>
    </row>
    <row r="61" spans="1:6">
      <c r="A61" t="s">
        <v>231</v>
      </c>
      <c r="B61">
        <v>7</v>
      </c>
      <c r="C61" s="2">
        <v>45318</v>
      </c>
      <c r="D61" t="s">
        <v>169</v>
      </c>
      <c r="E61" t="s">
        <v>178</v>
      </c>
      <c r="F61" t="s">
        <v>163</v>
      </c>
    </row>
    <row r="62" spans="1:6">
      <c r="A62" t="s">
        <v>232</v>
      </c>
      <c r="B62">
        <v>7</v>
      </c>
      <c r="C62" s="2">
        <v>45608</v>
      </c>
      <c r="D62" t="s">
        <v>161</v>
      </c>
      <c r="E62" t="s">
        <v>162</v>
      </c>
      <c r="F62" t="s">
        <v>163</v>
      </c>
    </row>
    <row r="63" spans="1:6">
      <c r="A63" t="s">
        <v>233</v>
      </c>
      <c r="B63">
        <v>7</v>
      </c>
      <c r="C63" s="2">
        <v>45463</v>
      </c>
      <c r="D63" t="s">
        <v>174</v>
      </c>
      <c r="E63" t="s">
        <v>167</v>
      </c>
      <c r="F63" t="s">
        <v>170</v>
      </c>
    </row>
    <row r="64" spans="1:6">
      <c r="A64" t="s">
        <v>234</v>
      </c>
      <c r="B64">
        <v>7</v>
      </c>
      <c r="C64" s="2">
        <v>45297</v>
      </c>
      <c r="D64" t="s">
        <v>161</v>
      </c>
      <c r="E64" t="s">
        <v>162</v>
      </c>
      <c r="F64" t="s">
        <v>163</v>
      </c>
    </row>
    <row r="65" spans="1:6">
      <c r="A65" t="s">
        <v>235</v>
      </c>
      <c r="B65">
        <v>7</v>
      </c>
      <c r="C65" s="2">
        <v>45640</v>
      </c>
      <c r="D65" t="s">
        <v>189</v>
      </c>
      <c r="E65" t="s">
        <v>167</v>
      </c>
      <c r="F65" t="s">
        <v>170</v>
      </c>
    </row>
    <row r="66" spans="1:6">
      <c r="A66" t="s">
        <v>236</v>
      </c>
      <c r="B66">
        <v>8</v>
      </c>
      <c r="C66" s="2">
        <v>45407</v>
      </c>
      <c r="D66" t="s">
        <v>172</v>
      </c>
      <c r="E66" t="s">
        <v>178</v>
      </c>
      <c r="F66" t="s">
        <v>163</v>
      </c>
    </row>
    <row r="67" spans="1:6">
      <c r="A67" t="s">
        <v>237</v>
      </c>
      <c r="B67">
        <v>8</v>
      </c>
      <c r="C67" s="2">
        <v>45547</v>
      </c>
      <c r="D67" t="s">
        <v>161</v>
      </c>
      <c r="E67" t="s">
        <v>162</v>
      </c>
      <c r="F67" t="s">
        <v>163</v>
      </c>
    </row>
    <row r="68" spans="1:6">
      <c r="A68" t="s">
        <v>238</v>
      </c>
      <c r="B68">
        <v>9</v>
      </c>
      <c r="C68" s="2">
        <v>45349</v>
      </c>
      <c r="D68" t="s">
        <v>161</v>
      </c>
      <c r="E68" t="s">
        <v>162</v>
      </c>
      <c r="F68" t="s">
        <v>163</v>
      </c>
    </row>
    <row r="69" spans="1:6">
      <c r="A69" t="s">
        <v>239</v>
      </c>
      <c r="B69">
        <v>9</v>
      </c>
      <c r="C69" s="2">
        <v>45633</v>
      </c>
      <c r="D69" t="s">
        <v>169</v>
      </c>
      <c r="E69" t="s">
        <v>165</v>
      </c>
      <c r="F69" t="s">
        <v>163</v>
      </c>
    </row>
    <row r="70" spans="1:6">
      <c r="A70" t="s">
        <v>240</v>
      </c>
      <c r="B70">
        <v>9</v>
      </c>
      <c r="C70" s="2">
        <v>45564</v>
      </c>
      <c r="D70" t="s">
        <v>189</v>
      </c>
      <c r="E70" t="s">
        <v>178</v>
      </c>
      <c r="F70" t="s">
        <v>183</v>
      </c>
    </row>
    <row r="71" spans="1:6">
      <c r="A71" t="s">
        <v>241</v>
      </c>
      <c r="B71">
        <v>9</v>
      </c>
      <c r="C71" s="2">
        <v>45461</v>
      </c>
      <c r="D71" t="s">
        <v>169</v>
      </c>
      <c r="E71" t="s">
        <v>165</v>
      </c>
      <c r="F71" t="s">
        <v>163</v>
      </c>
    </row>
    <row r="72" spans="1:6">
      <c r="A72" t="s">
        <v>242</v>
      </c>
      <c r="B72">
        <v>9</v>
      </c>
      <c r="C72" s="2">
        <v>45304</v>
      </c>
      <c r="D72" t="s">
        <v>174</v>
      </c>
      <c r="E72" t="s">
        <v>167</v>
      </c>
      <c r="F72" t="s">
        <v>163</v>
      </c>
    </row>
    <row r="73" spans="1:6">
      <c r="A73" t="s">
        <v>243</v>
      </c>
      <c r="B73">
        <v>9</v>
      </c>
      <c r="C73" s="2">
        <v>45311</v>
      </c>
      <c r="D73" t="s">
        <v>189</v>
      </c>
      <c r="E73" t="s">
        <v>162</v>
      </c>
      <c r="F73" t="s">
        <v>183</v>
      </c>
    </row>
    <row r="74" spans="1:6">
      <c r="A74" t="s">
        <v>244</v>
      </c>
      <c r="B74">
        <v>9</v>
      </c>
      <c r="C74" s="2">
        <v>45433</v>
      </c>
      <c r="D74" t="s">
        <v>174</v>
      </c>
      <c r="E74" t="s">
        <v>165</v>
      </c>
      <c r="F74" t="s">
        <v>163</v>
      </c>
    </row>
    <row r="75" spans="1:6">
      <c r="A75" t="s">
        <v>245</v>
      </c>
      <c r="B75">
        <v>9</v>
      </c>
      <c r="C75" s="2">
        <v>45645</v>
      </c>
      <c r="D75" t="s">
        <v>169</v>
      </c>
      <c r="E75" t="s">
        <v>162</v>
      </c>
      <c r="F75" t="s">
        <v>163</v>
      </c>
    </row>
    <row r="76" spans="1:6">
      <c r="A76" t="s">
        <v>246</v>
      </c>
      <c r="B76">
        <v>9</v>
      </c>
      <c r="C76" s="2">
        <v>45354</v>
      </c>
      <c r="D76" t="s">
        <v>172</v>
      </c>
      <c r="E76" t="s">
        <v>167</v>
      </c>
      <c r="F76" t="s">
        <v>163</v>
      </c>
    </row>
    <row r="77" spans="1:6">
      <c r="A77" t="s">
        <v>247</v>
      </c>
      <c r="B77">
        <v>9</v>
      </c>
      <c r="C77" s="2">
        <v>45596</v>
      </c>
      <c r="D77" t="s">
        <v>174</v>
      </c>
      <c r="E77" t="s">
        <v>167</v>
      </c>
      <c r="F77" t="s">
        <v>183</v>
      </c>
    </row>
    <row r="78" spans="1:6">
      <c r="A78" t="s">
        <v>248</v>
      </c>
      <c r="B78">
        <v>9</v>
      </c>
      <c r="C78" s="2">
        <v>45392</v>
      </c>
      <c r="D78" t="s">
        <v>189</v>
      </c>
      <c r="E78" t="s">
        <v>162</v>
      </c>
      <c r="F78" t="s">
        <v>183</v>
      </c>
    </row>
    <row r="79" spans="1:6">
      <c r="A79" t="s">
        <v>249</v>
      </c>
      <c r="B79">
        <v>9</v>
      </c>
      <c r="C79" s="2">
        <v>45399</v>
      </c>
      <c r="D79" t="s">
        <v>172</v>
      </c>
      <c r="E79" t="s">
        <v>165</v>
      </c>
      <c r="F79" t="s">
        <v>163</v>
      </c>
    </row>
    <row r="80" spans="1:6">
      <c r="A80" t="s">
        <v>250</v>
      </c>
      <c r="B80">
        <v>9</v>
      </c>
      <c r="C80" s="2">
        <v>45641</v>
      </c>
      <c r="D80" t="s">
        <v>161</v>
      </c>
      <c r="E80" t="s">
        <v>165</v>
      </c>
      <c r="F80" t="s">
        <v>163</v>
      </c>
    </row>
    <row r="81" spans="1:6">
      <c r="A81" t="s">
        <v>251</v>
      </c>
      <c r="B81">
        <v>9</v>
      </c>
      <c r="C81" s="2">
        <v>45397</v>
      </c>
      <c r="D81" t="s">
        <v>161</v>
      </c>
      <c r="E81" t="s">
        <v>178</v>
      </c>
      <c r="F81" t="s">
        <v>163</v>
      </c>
    </row>
    <row r="82" spans="1:6">
      <c r="A82" t="s">
        <v>252</v>
      </c>
      <c r="B82">
        <v>10</v>
      </c>
      <c r="C82" s="2">
        <v>45349</v>
      </c>
      <c r="D82" t="s">
        <v>169</v>
      </c>
      <c r="E82" t="s">
        <v>178</v>
      </c>
      <c r="F82" t="s">
        <v>163</v>
      </c>
    </row>
    <row r="83" spans="1:6">
      <c r="A83" t="s">
        <v>253</v>
      </c>
      <c r="B83">
        <v>10</v>
      </c>
      <c r="C83" s="2">
        <v>45570</v>
      </c>
      <c r="D83" t="s">
        <v>189</v>
      </c>
      <c r="E83" t="s">
        <v>162</v>
      </c>
      <c r="F83" t="s">
        <v>163</v>
      </c>
    </row>
    <row r="84" spans="1:6">
      <c r="A84" t="s">
        <v>254</v>
      </c>
      <c r="B84">
        <v>11</v>
      </c>
      <c r="C84" s="2">
        <v>45530</v>
      </c>
      <c r="D84" t="s">
        <v>169</v>
      </c>
      <c r="E84" t="s">
        <v>162</v>
      </c>
      <c r="F84" t="s">
        <v>163</v>
      </c>
    </row>
    <row r="85" spans="1:6">
      <c r="A85" t="s">
        <v>255</v>
      </c>
      <c r="B85">
        <v>11</v>
      </c>
      <c r="C85" s="2">
        <v>45528</v>
      </c>
      <c r="D85" t="s">
        <v>172</v>
      </c>
      <c r="E85" t="s">
        <v>178</v>
      </c>
      <c r="F85" t="s">
        <v>170</v>
      </c>
    </row>
    <row r="86" spans="1:6">
      <c r="A86" t="s">
        <v>256</v>
      </c>
      <c r="B86">
        <v>11</v>
      </c>
      <c r="C86" s="2">
        <v>45483</v>
      </c>
      <c r="D86" t="s">
        <v>172</v>
      </c>
      <c r="E86" t="s">
        <v>167</v>
      </c>
      <c r="F86" t="s">
        <v>183</v>
      </c>
    </row>
    <row r="87" spans="1:6">
      <c r="A87" t="s">
        <v>257</v>
      </c>
      <c r="B87">
        <v>11</v>
      </c>
      <c r="C87" s="2">
        <v>45367</v>
      </c>
      <c r="D87" t="s">
        <v>169</v>
      </c>
      <c r="E87" t="s">
        <v>162</v>
      </c>
      <c r="F87" t="s">
        <v>163</v>
      </c>
    </row>
    <row r="88" spans="1:6">
      <c r="A88" t="s">
        <v>258</v>
      </c>
      <c r="B88">
        <v>11</v>
      </c>
      <c r="C88" s="2">
        <v>45476</v>
      </c>
      <c r="D88" t="s">
        <v>172</v>
      </c>
      <c r="E88" t="s">
        <v>167</v>
      </c>
      <c r="F88" t="s">
        <v>163</v>
      </c>
    </row>
    <row r="89" spans="1:6">
      <c r="A89" t="s">
        <v>259</v>
      </c>
      <c r="B89">
        <v>11</v>
      </c>
      <c r="C89" s="2">
        <v>45385</v>
      </c>
      <c r="D89" t="s">
        <v>174</v>
      </c>
      <c r="E89" t="s">
        <v>178</v>
      </c>
      <c r="F89" t="s">
        <v>163</v>
      </c>
    </row>
    <row r="90" spans="1:6">
      <c r="A90" t="s">
        <v>260</v>
      </c>
      <c r="B90">
        <v>11</v>
      </c>
      <c r="C90" s="2">
        <v>45632</v>
      </c>
      <c r="D90" t="s">
        <v>174</v>
      </c>
      <c r="E90" t="s">
        <v>178</v>
      </c>
      <c r="F90" t="s">
        <v>163</v>
      </c>
    </row>
    <row r="91" spans="1:6">
      <c r="A91" t="s">
        <v>261</v>
      </c>
      <c r="B91">
        <v>11</v>
      </c>
      <c r="C91" s="2">
        <v>45541</v>
      </c>
      <c r="D91" t="s">
        <v>169</v>
      </c>
      <c r="E91" t="s">
        <v>167</v>
      </c>
      <c r="F91" t="s">
        <v>163</v>
      </c>
    </row>
    <row r="92" spans="1:6">
      <c r="A92" t="s">
        <v>262</v>
      </c>
      <c r="B92">
        <v>11</v>
      </c>
      <c r="C92" s="2">
        <v>45471</v>
      </c>
      <c r="D92" t="s">
        <v>169</v>
      </c>
      <c r="E92" t="s">
        <v>167</v>
      </c>
      <c r="F92" t="s">
        <v>170</v>
      </c>
    </row>
    <row r="93" spans="1:6">
      <c r="A93" t="s">
        <v>263</v>
      </c>
      <c r="B93">
        <v>11</v>
      </c>
      <c r="C93" s="2">
        <v>45548</v>
      </c>
      <c r="D93" t="s">
        <v>172</v>
      </c>
      <c r="E93" t="s">
        <v>178</v>
      </c>
      <c r="F93" t="s">
        <v>163</v>
      </c>
    </row>
    <row r="94" spans="1:6">
      <c r="A94" t="s">
        <v>264</v>
      </c>
      <c r="B94">
        <v>11</v>
      </c>
      <c r="C94" s="2">
        <v>45627</v>
      </c>
      <c r="D94" t="s">
        <v>169</v>
      </c>
      <c r="E94" t="s">
        <v>178</v>
      </c>
      <c r="F94" t="s">
        <v>183</v>
      </c>
    </row>
    <row r="95" spans="1:6">
      <c r="A95" t="s">
        <v>265</v>
      </c>
      <c r="B95">
        <v>11</v>
      </c>
      <c r="C95" s="2">
        <v>45631</v>
      </c>
      <c r="D95" t="s">
        <v>174</v>
      </c>
      <c r="E95" t="s">
        <v>167</v>
      </c>
      <c r="F95" t="s">
        <v>163</v>
      </c>
    </row>
    <row r="96" spans="1:6">
      <c r="A96" t="s">
        <v>266</v>
      </c>
      <c r="B96">
        <v>11</v>
      </c>
      <c r="C96" s="2">
        <v>45470</v>
      </c>
      <c r="D96" t="s">
        <v>161</v>
      </c>
      <c r="E96" t="s">
        <v>178</v>
      </c>
      <c r="F96" t="s">
        <v>163</v>
      </c>
    </row>
    <row r="97" spans="1:6">
      <c r="A97" t="s">
        <v>267</v>
      </c>
      <c r="B97">
        <v>11</v>
      </c>
      <c r="C97" s="2">
        <v>45459</v>
      </c>
      <c r="D97" t="s">
        <v>169</v>
      </c>
      <c r="E97" t="s">
        <v>165</v>
      </c>
      <c r="F97" t="s">
        <v>163</v>
      </c>
    </row>
    <row r="98" spans="1:6">
      <c r="A98" t="s">
        <v>268</v>
      </c>
      <c r="B98">
        <v>12</v>
      </c>
      <c r="C98" s="2">
        <v>45386</v>
      </c>
      <c r="D98" t="s">
        <v>169</v>
      </c>
      <c r="E98" t="s">
        <v>178</v>
      </c>
      <c r="F98" t="s">
        <v>163</v>
      </c>
    </row>
    <row r="99" spans="1:6">
      <c r="A99" t="s">
        <v>269</v>
      </c>
      <c r="B99">
        <v>12</v>
      </c>
      <c r="C99" s="2">
        <v>45628</v>
      </c>
      <c r="D99" t="s">
        <v>169</v>
      </c>
      <c r="E99" t="s">
        <v>162</v>
      </c>
      <c r="F99" t="s">
        <v>163</v>
      </c>
    </row>
    <row r="100" spans="1:6">
      <c r="A100" t="s">
        <v>270</v>
      </c>
      <c r="B100">
        <v>12</v>
      </c>
      <c r="C100" s="2">
        <v>45381</v>
      </c>
      <c r="D100" t="s">
        <v>169</v>
      </c>
      <c r="E100" t="s">
        <v>165</v>
      </c>
      <c r="F100" t="s">
        <v>163</v>
      </c>
    </row>
    <row r="101" spans="1:6">
      <c r="A101" t="s">
        <v>271</v>
      </c>
      <c r="B101">
        <v>12</v>
      </c>
      <c r="C101" s="2">
        <v>45605</v>
      </c>
      <c r="D101" t="s">
        <v>172</v>
      </c>
      <c r="E101" t="s">
        <v>167</v>
      </c>
      <c r="F101" t="s">
        <v>163</v>
      </c>
    </row>
    <row r="102" spans="1:6">
      <c r="A102" t="s">
        <v>272</v>
      </c>
      <c r="B102">
        <v>13</v>
      </c>
      <c r="C102" s="2">
        <v>45508</v>
      </c>
      <c r="D102" t="s">
        <v>172</v>
      </c>
      <c r="E102" t="s">
        <v>178</v>
      </c>
      <c r="F102" t="s">
        <v>163</v>
      </c>
    </row>
    <row r="103" spans="1:6">
      <c r="A103" t="s">
        <v>273</v>
      </c>
      <c r="B103">
        <v>13</v>
      </c>
      <c r="C103" s="2">
        <v>45648</v>
      </c>
      <c r="D103" t="s">
        <v>189</v>
      </c>
      <c r="E103" t="s">
        <v>162</v>
      </c>
      <c r="F103" t="s">
        <v>183</v>
      </c>
    </row>
    <row r="104" spans="1:6">
      <c r="A104" t="s">
        <v>274</v>
      </c>
      <c r="B104">
        <v>13</v>
      </c>
      <c r="C104" s="2">
        <v>45327</v>
      </c>
      <c r="D104" t="s">
        <v>169</v>
      </c>
      <c r="E104" t="s">
        <v>178</v>
      </c>
      <c r="F104" t="s">
        <v>183</v>
      </c>
    </row>
    <row r="105" spans="1:6">
      <c r="A105" t="s">
        <v>275</v>
      </c>
      <c r="B105">
        <v>13</v>
      </c>
      <c r="C105" s="2">
        <v>45442</v>
      </c>
      <c r="D105" t="s">
        <v>172</v>
      </c>
      <c r="E105" t="s">
        <v>162</v>
      </c>
      <c r="F105" t="s">
        <v>163</v>
      </c>
    </row>
    <row r="106" spans="1:6">
      <c r="A106" t="s">
        <v>276</v>
      </c>
      <c r="B106">
        <v>13</v>
      </c>
      <c r="C106" s="2">
        <v>45570</v>
      </c>
      <c r="D106" t="s">
        <v>189</v>
      </c>
      <c r="E106" t="s">
        <v>165</v>
      </c>
      <c r="F106" t="s">
        <v>163</v>
      </c>
    </row>
    <row r="107" spans="1:6">
      <c r="A107" t="s">
        <v>277</v>
      </c>
      <c r="B107">
        <v>13</v>
      </c>
      <c r="C107" s="2">
        <v>45375</v>
      </c>
      <c r="D107" t="s">
        <v>189</v>
      </c>
      <c r="E107" t="s">
        <v>167</v>
      </c>
      <c r="F107" t="s">
        <v>163</v>
      </c>
    </row>
    <row r="108" spans="1:6">
      <c r="A108" t="s">
        <v>278</v>
      </c>
      <c r="B108">
        <v>13</v>
      </c>
      <c r="C108" s="2">
        <v>45468</v>
      </c>
      <c r="D108" t="s">
        <v>174</v>
      </c>
      <c r="E108" t="s">
        <v>162</v>
      </c>
      <c r="F108" t="s">
        <v>170</v>
      </c>
    </row>
    <row r="109" spans="1:6">
      <c r="A109" t="s">
        <v>279</v>
      </c>
      <c r="B109">
        <v>13</v>
      </c>
      <c r="C109" s="2">
        <v>45367</v>
      </c>
      <c r="D109" t="s">
        <v>189</v>
      </c>
      <c r="E109" t="s">
        <v>165</v>
      </c>
      <c r="F109" t="s">
        <v>170</v>
      </c>
    </row>
    <row r="110" spans="1:6">
      <c r="A110" t="s">
        <v>280</v>
      </c>
      <c r="B110">
        <v>13</v>
      </c>
      <c r="C110" s="2">
        <v>45343</v>
      </c>
      <c r="D110" t="s">
        <v>161</v>
      </c>
      <c r="E110" t="s">
        <v>167</v>
      </c>
      <c r="F110" t="s">
        <v>163</v>
      </c>
    </row>
    <row r="111" spans="1:6">
      <c r="A111" t="s">
        <v>281</v>
      </c>
      <c r="B111">
        <v>13</v>
      </c>
      <c r="C111" s="2">
        <v>45360</v>
      </c>
      <c r="D111" t="s">
        <v>161</v>
      </c>
      <c r="E111" t="s">
        <v>162</v>
      </c>
      <c r="F111" t="s">
        <v>163</v>
      </c>
    </row>
    <row r="112" spans="1:6">
      <c r="A112" t="s">
        <v>282</v>
      </c>
      <c r="B112">
        <v>13</v>
      </c>
      <c r="C112" s="2">
        <v>45344</v>
      </c>
      <c r="D112" t="s">
        <v>189</v>
      </c>
      <c r="E112" t="s">
        <v>165</v>
      </c>
      <c r="F112" t="s">
        <v>163</v>
      </c>
    </row>
    <row r="113" spans="1:6">
      <c r="A113" t="s">
        <v>283</v>
      </c>
      <c r="B113">
        <v>13</v>
      </c>
      <c r="C113" s="2">
        <v>45477</v>
      </c>
      <c r="D113" t="s">
        <v>169</v>
      </c>
      <c r="E113" t="s">
        <v>178</v>
      </c>
      <c r="F113" t="s">
        <v>183</v>
      </c>
    </row>
    <row r="114" spans="1:6">
      <c r="A114" t="s">
        <v>284</v>
      </c>
      <c r="B114">
        <v>13</v>
      </c>
      <c r="C114" s="2">
        <v>45526</v>
      </c>
      <c r="D114" t="s">
        <v>161</v>
      </c>
      <c r="E114" t="s">
        <v>167</v>
      </c>
      <c r="F114" t="s">
        <v>170</v>
      </c>
    </row>
    <row r="115" spans="1:6">
      <c r="A115" t="s">
        <v>285</v>
      </c>
      <c r="B115">
        <v>13</v>
      </c>
      <c r="C115" s="2">
        <v>45365</v>
      </c>
      <c r="D115" t="s">
        <v>169</v>
      </c>
      <c r="E115" t="s">
        <v>162</v>
      </c>
      <c r="F115" t="s">
        <v>183</v>
      </c>
    </row>
    <row r="116" spans="1:6">
      <c r="A116" t="s">
        <v>286</v>
      </c>
      <c r="B116">
        <v>13</v>
      </c>
      <c r="C116" s="2">
        <v>45298</v>
      </c>
      <c r="D116" t="s">
        <v>172</v>
      </c>
      <c r="E116" t="s">
        <v>162</v>
      </c>
      <c r="F116" t="s">
        <v>163</v>
      </c>
    </row>
    <row r="117" spans="1:6">
      <c r="A117" t="s">
        <v>287</v>
      </c>
      <c r="B117">
        <v>13</v>
      </c>
      <c r="C117" s="2">
        <v>45413</v>
      </c>
      <c r="D117" t="s">
        <v>169</v>
      </c>
      <c r="E117" t="s">
        <v>178</v>
      </c>
      <c r="F117" t="s">
        <v>163</v>
      </c>
    </row>
    <row r="118" spans="1:6">
      <c r="A118" t="s">
        <v>288</v>
      </c>
      <c r="B118">
        <v>13</v>
      </c>
      <c r="C118" s="2">
        <v>45630</v>
      </c>
      <c r="D118" t="s">
        <v>172</v>
      </c>
      <c r="E118" t="s">
        <v>178</v>
      </c>
      <c r="F118" t="s">
        <v>183</v>
      </c>
    </row>
    <row r="119" spans="1:6">
      <c r="A119" t="s">
        <v>289</v>
      </c>
      <c r="B119">
        <v>15</v>
      </c>
      <c r="C119" s="2">
        <v>45508</v>
      </c>
      <c r="D119" t="s">
        <v>172</v>
      </c>
      <c r="E119" t="s">
        <v>162</v>
      </c>
      <c r="F119" t="s">
        <v>163</v>
      </c>
    </row>
    <row r="120" spans="1:6">
      <c r="A120" t="s">
        <v>290</v>
      </c>
      <c r="B120">
        <v>15</v>
      </c>
      <c r="C120" s="2">
        <v>45566</v>
      </c>
      <c r="D120" t="s">
        <v>172</v>
      </c>
      <c r="E120" t="s">
        <v>162</v>
      </c>
      <c r="F120" t="s">
        <v>163</v>
      </c>
    </row>
    <row r="121" spans="1:6">
      <c r="A121" t="s">
        <v>291</v>
      </c>
      <c r="B121">
        <v>15</v>
      </c>
      <c r="C121" s="2">
        <v>45637</v>
      </c>
      <c r="D121" t="s">
        <v>161</v>
      </c>
      <c r="E121" t="s">
        <v>165</v>
      </c>
      <c r="F121" t="s">
        <v>163</v>
      </c>
    </row>
    <row r="122" spans="1:6">
      <c r="A122" t="s">
        <v>292</v>
      </c>
      <c r="B122">
        <v>15</v>
      </c>
      <c r="C122" s="2">
        <v>45432</v>
      </c>
      <c r="D122" t="s">
        <v>169</v>
      </c>
      <c r="E122" t="s">
        <v>162</v>
      </c>
      <c r="F122" t="s">
        <v>163</v>
      </c>
    </row>
    <row r="123" spans="1:6">
      <c r="A123" t="s">
        <v>293</v>
      </c>
      <c r="B123">
        <v>15</v>
      </c>
      <c r="C123" s="2">
        <v>45608</v>
      </c>
      <c r="D123" t="s">
        <v>189</v>
      </c>
      <c r="E123" t="s">
        <v>165</v>
      </c>
      <c r="F123" t="s">
        <v>183</v>
      </c>
    </row>
    <row r="124" spans="1:6">
      <c r="A124" t="s">
        <v>294</v>
      </c>
      <c r="B124">
        <v>15</v>
      </c>
      <c r="C124" s="2">
        <v>45481</v>
      </c>
      <c r="D124" t="s">
        <v>189</v>
      </c>
      <c r="E124" t="s">
        <v>165</v>
      </c>
      <c r="F124" t="s">
        <v>163</v>
      </c>
    </row>
    <row r="125" spans="1:6">
      <c r="A125" t="s">
        <v>295</v>
      </c>
      <c r="B125">
        <v>15</v>
      </c>
      <c r="C125" s="2">
        <v>45603</v>
      </c>
      <c r="D125" t="s">
        <v>189</v>
      </c>
      <c r="E125" t="s">
        <v>167</v>
      </c>
      <c r="F125" t="s">
        <v>163</v>
      </c>
    </row>
    <row r="126" spans="1:6">
      <c r="A126" t="s">
        <v>296</v>
      </c>
      <c r="B126">
        <v>15</v>
      </c>
      <c r="C126" s="2">
        <v>45335</v>
      </c>
      <c r="D126" t="s">
        <v>172</v>
      </c>
      <c r="E126" t="s">
        <v>162</v>
      </c>
      <c r="F126" t="s">
        <v>163</v>
      </c>
    </row>
    <row r="127" spans="1:6">
      <c r="A127" t="s">
        <v>297</v>
      </c>
      <c r="B127">
        <v>15</v>
      </c>
      <c r="C127" s="2">
        <v>45504</v>
      </c>
      <c r="D127" t="s">
        <v>161</v>
      </c>
      <c r="E127" t="s">
        <v>162</v>
      </c>
      <c r="F127" t="s">
        <v>163</v>
      </c>
    </row>
    <row r="128" spans="1:6">
      <c r="A128" t="s">
        <v>298</v>
      </c>
      <c r="B128">
        <v>15</v>
      </c>
      <c r="C128" s="2">
        <v>45311</v>
      </c>
      <c r="D128" t="s">
        <v>189</v>
      </c>
      <c r="E128" t="s">
        <v>167</v>
      </c>
      <c r="F128" t="s">
        <v>163</v>
      </c>
    </row>
    <row r="129" spans="1:6">
      <c r="A129" t="s">
        <v>299</v>
      </c>
      <c r="B129">
        <v>15</v>
      </c>
      <c r="C129" s="2">
        <v>45305</v>
      </c>
      <c r="D129" t="s">
        <v>189</v>
      </c>
      <c r="E129" t="s">
        <v>178</v>
      </c>
      <c r="F129" t="s">
        <v>163</v>
      </c>
    </row>
    <row r="130" spans="1:6">
      <c r="A130" t="s">
        <v>300</v>
      </c>
      <c r="B130">
        <v>15</v>
      </c>
      <c r="C130" s="2">
        <v>45435</v>
      </c>
      <c r="D130" t="s">
        <v>189</v>
      </c>
      <c r="E130" t="s">
        <v>165</v>
      </c>
      <c r="F130" t="s">
        <v>163</v>
      </c>
    </row>
    <row r="131" spans="1:6">
      <c r="A131" t="s">
        <v>301</v>
      </c>
      <c r="B131">
        <v>15</v>
      </c>
      <c r="C131" s="2">
        <v>45563</v>
      </c>
      <c r="D131" t="s">
        <v>174</v>
      </c>
      <c r="E131" t="s">
        <v>162</v>
      </c>
      <c r="F131" t="s">
        <v>163</v>
      </c>
    </row>
    <row r="132" spans="1:6">
      <c r="A132" t="s">
        <v>302</v>
      </c>
      <c r="B132">
        <v>15</v>
      </c>
      <c r="C132" s="2">
        <v>45413</v>
      </c>
      <c r="D132" t="s">
        <v>174</v>
      </c>
      <c r="E132" t="s">
        <v>162</v>
      </c>
      <c r="F132" t="s">
        <v>163</v>
      </c>
    </row>
    <row r="133" spans="1:6">
      <c r="A133" t="s">
        <v>303</v>
      </c>
      <c r="B133">
        <v>15</v>
      </c>
      <c r="C133" s="2">
        <v>45607</v>
      </c>
      <c r="D133" t="s">
        <v>169</v>
      </c>
      <c r="E133" t="s">
        <v>162</v>
      </c>
      <c r="F133" t="s">
        <v>163</v>
      </c>
    </row>
    <row r="134" spans="1:6">
      <c r="A134" t="s">
        <v>304</v>
      </c>
      <c r="B134">
        <v>15</v>
      </c>
      <c r="C134" s="2">
        <v>45483</v>
      </c>
      <c r="D134" t="s">
        <v>161</v>
      </c>
      <c r="E134" t="s">
        <v>167</v>
      </c>
      <c r="F134" t="s">
        <v>163</v>
      </c>
    </row>
    <row r="135" spans="1:6">
      <c r="A135" t="s">
        <v>305</v>
      </c>
      <c r="B135">
        <v>15</v>
      </c>
      <c r="C135" s="2">
        <v>45503</v>
      </c>
      <c r="D135" t="s">
        <v>172</v>
      </c>
      <c r="E135" t="s">
        <v>162</v>
      </c>
      <c r="F135" t="s">
        <v>163</v>
      </c>
    </row>
    <row r="136" spans="1:6">
      <c r="A136" t="s">
        <v>306</v>
      </c>
      <c r="B136">
        <v>15</v>
      </c>
      <c r="C136" s="2">
        <v>45337</v>
      </c>
      <c r="D136" t="s">
        <v>161</v>
      </c>
      <c r="E136" t="s">
        <v>178</v>
      </c>
      <c r="F136" t="s">
        <v>170</v>
      </c>
    </row>
    <row r="137" spans="1:6">
      <c r="A137" t="s">
        <v>307</v>
      </c>
      <c r="B137">
        <v>15</v>
      </c>
      <c r="C137" s="2">
        <v>45547</v>
      </c>
      <c r="D137" t="s">
        <v>172</v>
      </c>
      <c r="E137" t="s">
        <v>165</v>
      </c>
      <c r="F137" t="s">
        <v>170</v>
      </c>
    </row>
    <row r="138" spans="1:6">
      <c r="A138" t="s">
        <v>308</v>
      </c>
      <c r="B138">
        <v>16</v>
      </c>
      <c r="C138" s="2">
        <v>45577</v>
      </c>
      <c r="D138" t="s">
        <v>169</v>
      </c>
      <c r="E138" t="s">
        <v>165</v>
      </c>
      <c r="F138" t="s">
        <v>163</v>
      </c>
    </row>
    <row r="139" spans="1:6">
      <c r="A139" t="s">
        <v>309</v>
      </c>
      <c r="B139">
        <v>17</v>
      </c>
      <c r="C139" s="2">
        <v>45580</v>
      </c>
      <c r="D139" t="s">
        <v>189</v>
      </c>
      <c r="E139" t="s">
        <v>167</v>
      </c>
      <c r="F139" t="s">
        <v>170</v>
      </c>
    </row>
    <row r="140" spans="1:6">
      <c r="A140" t="s">
        <v>310</v>
      </c>
      <c r="B140">
        <v>17</v>
      </c>
      <c r="C140" s="2">
        <v>45573</v>
      </c>
      <c r="D140" t="s">
        <v>189</v>
      </c>
      <c r="E140" t="s">
        <v>167</v>
      </c>
      <c r="F140" t="s">
        <v>183</v>
      </c>
    </row>
    <row r="141" spans="1:6">
      <c r="A141" t="s">
        <v>311</v>
      </c>
      <c r="B141">
        <v>17</v>
      </c>
      <c r="C141" s="2">
        <v>45389</v>
      </c>
      <c r="D141" t="s">
        <v>189</v>
      </c>
      <c r="E141" t="s">
        <v>165</v>
      </c>
      <c r="F141" t="s">
        <v>163</v>
      </c>
    </row>
    <row r="142" spans="1:6">
      <c r="A142" t="s">
        <v>312</v>
      </c>
      <c r="B142">
        <v>17</v>
      </c>
      <c r="C142" s="2">
        <v>45602</v>
      </c>
      <c r="D142" t="s">
        <v>174</v>
      </c>
      <c r="E142" t="s">
        <v>178</v>
      </c>
      <c r="F142" t="s">
        <v>163</v>
      </c>
    </row>
    <row r="143" spans="1:6">
      <c r="A143" t="s">
        <v>313</v>
      </c>
      <c r="B143">
        <v>17</v>
      </c>
      <c r="C143" s="2">
        <v>45649</v>
      </c>
      <c r="D143" t="s">
        <v>161</v>
      </c>
      <c r="E143" t="s">
        <v>178</v>
      </c>
      <c r="F143" t="s">
        <v>163</v>
      </c>
    </row>
    <row r="144" spans="1:6">
      <c r="A144" t="s">
        <v>314</v>
      </c>
      <c r="B144">
        <v>17</v>
      </c>
      <c r="C144" s="2">
        <v>45456</v>
      </c>
      <c r="D144" t="s">
        <v>169</v>
      </c>
      <c r="E144" t="s">
        <v>167</v>
      </c>
      <c r="F144" t="s">
        <v>163</v>
      </c>
    </row>
    <row r="145" spans="1:6">
      <c r="A145" t="s">
        <v>315</v>
      </c>
      <c r="B145">
        <v>17</v>
      </c>
      <c r="C145" s="2">
        <v>45292</v>
      </c>
      <c r="D145" t="s">
        <v>161</v>
      </c>
      <c r="E145" t="s">
        <v>178</v>
      </c>
      <c r="F145" t="s">
        <v>163</v>
      </c>
    </row>
    <row r="146" spans="1:6">
      <c r="A146" t="s">
        <v>316</v>
      </c>
      <c r="B146">
        <v>17</v>
      </c>
      <c r="C146" s="2">
        <v>45579</v>
      </c>
      <c r="D146" t="s">
        <v>169</v>
      </c>
      <c r="E146" t="s">
        <v>162</v>
      </c>
      <c r="F146" t="s">
        <v>163</v>
      </c>
    </row>
    <row r="147" spans="1:6">
      <c r="A147" t="s">
        <v>317</v>
      </c>
      <c r="B147">
        <v>17</v>
      </c>
      <c r="C147" s="2">
        <v>45541</v>
      </c>
      <c r="D147" t="s">
        <v>169</v>
      </c>
      <c r="E147" t="s">
        <v>167</v>
      </c>
      <c r="F147" t="s">
        <v>183</v>
      </c>
    </row>
    <row r="148" spans="1:6">
      <c r="A148" t="s">
        <v>318</v>
      </c>
      <c r="B148">
        <v>17</v>
      </c>
      <c r="C148" s="2">
        <v>45559</v>
      </c>
      <c r="D148" t="s">
        <v>189</v>
      </c>
      <c r="E148" t="s">
        <v>167</v>
      </c>
      <c r="F148" t="s">
        <v>170</v>
      </c>
    </row>
    <row r="149" spans="1:6">
      <c r="A149" t="s">
        <v>319</v>
      </c>
      <c r="B149">
        <v>17</v>
      </c>
      <c r="C149" s="2">
        <v>45542</v>
      </c>
      <c r="D149" t="s">
        <v>189</v>
      </c>
      <c r="E149" t="s">
        <v>178</v>
      </c>
      <c r="F149" t="s">
        <v>163</v>
      </c>
    </row>
    <row r="150" spans="1:6">
      <c r="A150" t="s">
        <v>320</v>
      </c>
      <c r="B150">
        <v>18</v>
      </c>
      <c r="C150" s="2">
        <v>45357</v>
      </c>
      <c r="D150" t="s">
        <v>161</v>
      </c>
      <c r="E150" t="s">
        <v>165</v>
      </c>
      <c r="F150" t="s">
        <v>170</v>
      </c>
    </row>
    <row r="151" spans="1:6">
      <c r="A151" t="s">
        <v>321</v>
      </c>
      <c r="B151">
        <v>18</v>
      </c>
      <c r="C151" s="2">
        <v>45543</v>
      </c>
      <c r="D151" t="s">
        <v>169</v>
      </c>
      <c r="E151" t="s">
        <v>167</v>
      </c>
      <c r="F151" t="s">
        <v>163</v>
      </c>
    </row>
    <row r="152" spans="1:6">
      <c r="A152" t="s">
        <v>322</v>
      </c>
      <c r="B152">
        <v>18</v>
      </c>
      <c r="C152" s="2">
        <v>45577</v>
      </c>
      <c r="D152" t="s">
        <v>161</v>
      </c>
      <c r="E152" t="s">
        <v>165</v>
      </c>
      <c r="F152" t="s">
        <v>170</v>
      </c>
    </row>
    <row r="153" spans="1:6">
      <c r="A153" t="s">
        <v>323</v>
      </c>
      <c r="B153">
        <v>18</v>
      </c>
      <c r="C153" s="2">
        <v>45540</v>
      </c>
      <c r="D153" t="s">
        <v>189</v>
      </c>
      <c r="E153" t="s">
        <v>162</v>
      </c>
      <c r="F153" t="s">
        <v>170</v>
      </c>
    </row>
    <row r="154" spans="1:6">
      <c r="A154" t="s">
        <v>324</v>
      </c>
      <c r="B154">
        <v>19</v>
      </c>
      <c r="C154" s="2">
        <v>45397</v>
      </c>
      <c r="D154" t="s">
        <v>161</v>
      </c>
      <c r="E154" t="s">
        <v>178</v>
      </c>
      <c r="F154" t="s">
        <v>170</v>
      </c>
    </row>
    <row r="155" spans="1:6">
      <c r="A155" t="s">
        <v>325</v>
      </c>
      <c r="B155">
        <v>19</v>
      </c>
      <c r="C155" s="2">
        <v>45429</v>
      </c>
      <c r="D155" t="s">
        <v>189</v>
      </c>
      <c r="E155" t="s">
        <v>167</v>
      </c>
      <c r="F155" t="s">
        <v>183</v>
      </c>
    </row>
    <row r="156" spans="1:6">
      <c r="A156" t="s">
        <v>326</v>
      </c>
      <c r="B156">
        <v>19</v>
      </c>
      <c r="C156" s="2">
        <v>45360</v>
      </c>
      <c r="D156" t="s">
        <v>169</v>
      </c>
      <c r="E156" t="s">
        <v>167</v>
      </c>
      <c r="F156" t="s">
        <v>163</v>
      </c>
    </row>
    <row r="157" spans="1:6">
      <c r="A157" t="s">
        <v>327</v>
      </c>
      <c r="B157">
        <v>19</v>
      </c>
      <c r="C157" s="2">
        <v>45417</v>
      </c>
      <c r="D157" t="s">
        <v>161</v>
      </c>
      <c r="E157" t="s">
        <v>165</v>
      </c>
      <c r="F157" t="s">
        <v>163</v>
      </c>
    </row>
    <row r="158" spans="1:6">
      <c r="A158" t="s">
        <v>328</v>
      </c>
      <c r="B158">
        <v>19</v>
      </c>
      <c r="C158" s="2">
        <v>45540</v>
      </c>
      <c r="D158" t="s">
        <v>161</v>
      </c>
      <c r="E158" t="s">
        <v>167</v>
      </c>
      <c r="F158" t="s">
        <v>163</v>
      </c>
    </row>
    <row r="159" spans="1:6">
      <c r="A159" t="s">
        <v>329</v>
      </c>
      <c r="B159">
        <v>19</v>
      </c>
      <c r="C159" s="2">
        <v>45651</v>
      </c>
      <c r="D159" t="s">
        <v>174</v>
      </c>
      <c r="E159" t="s">
        <v>162</v>
      </c>
      <c r="F159" t="s">
        <v>163</v>
      </c>
    </row>
    <row r="160" spans="1:6">
      <c r="A160" t="s">
        <v>330</v>
      </c>
      <c r="B160">
        <v>19</v>
      </c>
      <c r="C160" s="2">
        <v>45486</v>
      </c>
      <c r="D160" t="s">
        <v>161</v>
      </c>
      <c r="E160" t="s">
        <v>178</v>
      </c>
      <c r="F160" t="s">
        <v>170</v>
      </c>
    </row>
    <row r="161" spans="1:6">
      <c r="A161" t="s">
        <v>331</v>
      </c>
      <c r="B161">
        <v>19</v>
      </c>
      <c r="C161" s="2">
        <v>45413</v>
      </c>
      <c r="D161" t="s">
        <v>161</v>
      </c>
      <c r="E161" t="s">
        <v>165</v>
      </c>
      <c r="F161" t="s">
        <v>183</v>
      </c>
    </row>
    <row r="162" spans="1:6">
      <c r="A162" t="s">
        <v>332</v>
      </c>
      <c r="B162">
        <v>19</v>
      </c>
      <c r="C162" s="2">
        <v>45383</v>
      </c>
      <c r="D162" t="s">
        <v>169</v>
      </c>
      <c r="E162" t="s">
        <v>178</v>
      </c>
      <c r="F162" t="s">
        <v>163</v>
      </c>
    </row>
    <row r="163" spans="1:6">
      <c r="A163" t="s">
        <v>333</v>
      </c>
      <c r="B163">
        <v>19</v>
      </c>
      <c r="C163" s="2">
        <v>45292</v>
      </c>
      <c r="D163" t="s">
        <v>172</v>
      </c>
      <c r="E163" t="s">
        <v>178</v>
      </c>
      <c r="F163" t="s">
        <v>163</v>
      </c>
    </row>
    <row r="164" spans="1:6">
      <c r="A164" t="s">
        <v>334</v>
      </c>
      <c r="B164">
        <v>19</v>
      </c>
      <c r="C164" s="2">
        <v>45369</v>
      </c>
      <c r="D164" t="s">
        <v>169</v>
      </c>
      <c r="E164" t="s">
        <v>178</v>
      </c>
      <c r="F164" t="s">
        <v>163</v>
      </c>
    </row>
    <row r="165" spans="1:6">
      <c r="A165" t="s">
        <v>335</v>
      </c>
      <c r="B165">
        <v>19</v>
      </c>
      <c r="C165" s="2">
        <v>45540</v>
      </c>
      <c r="D165" t="s">
        <v>189</v>
      </c>
      <c r="E165" t="s">
        <v>167</v>
      </c>
      <c r="F165" t="s">
        <v>163</v>
      </c>
    </row>
    <row r="166" spans="1:6">
      <c r="A166" t="s">
        <v>336</v>
      </c>
      <c r="B166">
        <v>19</v>
      </c>
      <c r="C166" s="2">
        <v>45398</v>
      </c>
      <c r="D166" t="s">
        <v>172</v>
      </c>
      <c r="E166" t="s">
        <v>178</v>
      </c>
      <c r="F166" t="s">
        <v>163</v>
      </c>
    </row>
    <row r="167" spans="1:6">
      <c r="A167" t="s">
        <v>337</v>
      </c>
      <c r="B167">
        <v>19</v>
      </c>
      <c r="C167" s="2">
        <v>45299</v>
      </c>
      <c r="D167" t="s">
        <v>189</v>
      </c>
      <c r="E167" t="s">
        <v>165</v>
      </c>
      <c r="F167" t="s">
        <v>163</v>
      </c>
    </row>
    <row r="168" spans="1:6">
      <c r="A168" t="s">
        <v>338</v>
      </c>
      <c r="B168">
        <v>19</v>
      </c>
      <c r="C168" s="2">
        <v>45418</v>
      </c>
      <c r="D168" t="s">
        <v>169</v>
      </c>
      <c r="E168" t="s">
        <v>162</v>
      </c>
      <c r="F168" t="s">
        <v>163</v>
      </c>
    </row>
    <row r="169" spans="1:6">
      <c r="A169" t="s">
        <v>339</v>
      </c>
      <c r="B169">
        <v>19</v>
      </c>
      <c r="C169" s="2">
        <v>45656</v>
      </c>
      <c r="D169" t="s">
        <v>169</v>
      </c>
      <c r="E169" t="s">
        <v>167</v>
      </c>
      <c r="F169" t="s">
        <v>163</v>
      </c>
    </row>
    <row r="170" spans="1:6">
      <c r="A170" t="s">
        <v>340</v>
      </c>
      <c r="B170">
        <v>19</v>
      </c>
      <c r="C170" s="2">
        <v>45294</v>
      </c>
      <c r="D170" t="s">
        <v>161</v>
      </c>
      <c r="E170" t="s">
        <v>165</v>
      </c>
      <c r="F170" t="s">
        <v>163</v>
      </c>
    </row>
    <row r="171" spans="1:6">
      <c r="A171" t="s">
        <v>341</v>
      </c>
      <c r="B171">
        <v>19</v>
      </c>
      <c r="C171" s="2">
        <v>45518</v>
      </c>
      <c r="D171" t="s">
        <v>161</v>
      </c>
      <c r="E171" t="s">
        <v>165</v>
      </c>
      <c r="F171" t="s">
        <v>163</v>
      </c>
    </row>
    <row r="172" spans="1:6">
      <c r="A172" t="s">
        <v>342</v>
      </c>
      <c r="B172">
        <v>20</v>
      </c>
      <c r="C172" s="2">
        <v>45493</v>
      </c>
      <c r="D172" t="s">
        <v>189</v>
      </c>
      <c r="E172" t="s">
        <v>178</v>
      </c>
      <c r="F172" t="s">
        <v>163</v>
      </c>
    </row>
    <row r="173" spans="1:6">
      <c r="A173" t="s">
        <v>343</v>
      </c>
      <c r="B173">
        <v>20</v>
      </c>
      <c r="C173" s="2">
        <v>45417</v>
      </c>
      <c r="D173" t="s">
        <v>174</v>
      </c>
      <c r="E173" t="s">
        <v>178</v>
      </c>
      <c r="F173" t="s">
        <v>183</v>
      </c>
    </row>
    <row r="174" spans="1:6">
      <c r="A174" t="s">
        <v>344</v>
      </c>
      <c r="B174">
        <v>20</v>
      </c>
      <c r="C174" s="2">
        <v>45359</v>
      </c>
      <c r="D174" t="s">
        <v>169</v>
      </c>
      <c r="E174" t="s">
        <v>165</v>
      </c>
      <c r="F174" t="s">
        <v>163</v>
      </c>
    </row>
    <row r="175" spans="1:6">
      <c r="A175" t="s">
        <v>345</v>
      </c>
      <c r="B175">
        <v>20</v>
      </c>
      <c r="C175" s="2">
        <v>45519</v>
      </c>
      <c r="D175" t="s">
        <v>169</v>
      </c>
      <c r="E175" t="s">
        <v>165</v>
      </c>
      <c r="F175" t="s">
        <v>183</v>
      </c>
    </row>
    <row r="176" spans="1:6">
      <c r="A176" t="s">
        <v>346</v>
      </c>
      <c r="B176">
        <v>21</v>
      </c>
      <c r="C176" s="2">
        <v>45374</v>
      </c>
      <c r="D176" t="s">
        <v>169</v>
      </c>
      <c r="E176" t="s">
        <v>178</v>
      </c>
      <c r="F176" t="s">
        <v>163</v>
      </c>
    </row>
    <row r="177" spans="1:6">
      <c r="A177" t="s">
        <v>347</v>
      </c>
      <c r="B177">
        <v>21</v>
      </c>
      <c r="C177" s="2">
        <v>45573</v>
      </c>
      <c r="D177" t="s">
        <v>169</v>
      </c>
      <c r="E177" t="s">
        <v>165</v>
      </c>
      <c r="F177" t="s">
        <v>163</v>
      </c>
    </row>
    <row r="178" spans="1:6">
      <c r="A178" t="s">
        <v>348</v>
      </c>
      <c r="B178">
        <v>21</v>
      </c>
      <c r="C178" s="2">
        <v>45520</v>
      </c>
      <c r="D178" t="s">
        <v>189</v>
      </c>
      <c r="E178" t="s">
        <v>178</v>
      </c>
      <c r="F178" t="s">
        <v>163</v>
      </c>
    </row>
    <row r="179" spans="1:6">
      <c r="A179" t="s">
        <v>349</v>
      </c>
      <c r="B179">
        <v>21</v>
      </c>
      <c r="C179" s="2">
        <v>45403</v>
      </c>
      <c r="D179" t="s">
        <v>174</v>
      </c>
      <c r="E179" t="s">
        <v>167</v>
      </c>
      <c r="F179" t="s">
        <v>163</v>
      </c>
    </row>
    <row r="180" spans="1:6">
      <c r="A180" t="s">
        <v>350</v>
      </c>
      <c r="B180">
        <v>21</v>
      </c>
      <c r="C180" s="2">
        <v>45386</v>
      </c>
      <c r="D180" t="s">
        <v>189</v>
      </c>
      <c r="E180" t="s">
        <v>165</v>
      </c>
      <c r="F180" t="s">
        <v>163</v>
      </c>
    </row>
    <row r="181" spans="1:6">
      <c r="A181" t="s">
        <v>351</v>
      </c>
      <c r="B181">
        <v>22</v>
      </c>
      <c r="C181" s="2">
        <v>45514</v>
      </c>
      <c r="D181" t="s">
        <v>169</v>
      </c>
      <c r="E181" t="s">
        <v>162</v>
      </c>
      <c r="F181" t="s">
        <v>170</v>
      </c>
    </row>
    <row r="182" spans="1:6">
      <c r="A182" t="s">
        <v>352</v>
      </c>
      <c r="B182">
        <v>22</v>
      </c>
      <c r="C182" s="2">
        <v>45425</v>
      </c>
      <c r="D182" t="s">
        <v>189</v>
      </c>
      <c r="E182" t="s">
        <v>167</v>
      </c>
      <c r="F182" t="s">
        <v>163</v>
      </c>
    </row>
    <row r="183" spans="1:6">
      <c r="A183" t="s">
        <v>353</v>
      </c>
      <c r="B183">
        <v>22</v>
      </c>
      <c r="C183" s="2">
        <v>45353</v>
      </c>
      <c r="D183" t="s">
        <v>189</v>
      </c>
      <c r="E183" t="s">
        <v>167</v>
      </c>
      <c r="F183" t="s">
        <v>163</v>
      </c>
    </row>
    <row r="184" spans="1:6">
      <c r="A184" t="s">
        <v>354</v>
      </c>
      <c r="B184">
        <v>22</v>
      </c>
      <c r="C184" s="2">
        <v>45317</v>
      </c>
      <c r="D184" t="s">
        <v>161</v>
      </c>
      <c r="E184" t="s">
        <v>178</v>
      </c>
      <c r="F184" t="s">
        <v>183</v>
      </c>
    </row>
    <row r="185" spans="1:6">
      <c r="A185" t="s">
        <v>355</v>
      </c>
      <c r="B185">
        <v>23</v>
      </c>
      <c r="C185" s="2">
        <v>45409</v>
      </c>
      <c r="D185" t="s">
        <v>174</v>
      </c>
      <c r="E185" t="s">
        <v>165</v>
      </c>
      <c r="F185" t="s">
        <v>163</v>
      </c>
    </row>
    <row r="186" spans="1:6">
      <c r="A186" t="s">
        <v>356</v>
      </c>
      <c r="B186">
        <v>23</v>
      </c>
      <c r="C186" s="2">
        <v>45404</v>
      </c>
      <c r="D186" t="s">
        <v>174</v>
      </c>
      <c r="E186" t="s">
        <v>165</v>
      </c>
      <c r="F186" t="s">
        <v>183</v>
      </c>
    </row>
    <row r="187" spans="1:6">
      <c r="A187" t="s">
        <v>357</v>
      </c>
      <c r="B187">
        <v>23</v>
      </c>
      <c r="C187" s="2">
        <v>45611</v>
      </c>
      <c r="D187" t="s">
        <v>172</v>
      </c>
      <c r="E187" t="s">
        <v>167</v>
      </c>
      <c r="F187" t="s">
        <v>163</v>
      </c>
    </row>
    <row r="188" spans="1:6">
      <c r="A188" t="s">
        <v>358</v>
      </c>
      <c r="B188">
        <v>23</v>
      </c>
      <c r="C188" s="2">
        <v>45452</v>
      </c>
      <c r="D188" t="s">
        <v>169</v>
      </c>
      <c r="E188" t="s">
        <v>162</v>
      </c>
      <c r="F188" t="s">
        <v>163</v>
      </c>
    </row>
    <row r="189" spans="1:6">
      <c r="A189" t="s">
        <v>359</v>
      </c>
      <c r="B189">
        <v>23</v>
      </c>
      <c r="C189" s="2">
        <v>45429</v>
      </c>
      <c r="D189" t="s">
        <v>174</v>
      </c>
      <c r="E189" t="s">
        <v>167</v>
      </c>
      <c r="F189" t="s">
        <v>163</v>
      </c>
    </row>
    <row r="190" spans="1:6">
      <c r="A190" t="s">
        <v>360</v>
      </c>
      <c r="B190">
        <v>23</v>
      </c>
      <c r="C190" s="2">
        <v>45612</v>
      </c>
      <c r="D190" t="s">
        <v>172</v>
      </c>
      <c r="E190" t="s">
        <v>178</v>
      </c>
      <c r="F190" t="s">
        <v>183</v>
      </c>
    </row>
    <row r="191" spans="1:6">
      <c r="A191" t="s">
        <v>361</v>
      </c>
      <c r="B191">
        <v>23</v>
      </c>
      <c r="C191" s="2">
        <v>45329</v>
      </c>
      <c r="D191" t="s">
        <v>161</v>
      </c>
      <c r="E191" t="s">
        <v>167</v>
      </c>
      <c r="F191" t="s">
        <v>163</v>
      </c>
    </row>
    <row r="192" spans="1:6">
      <c r="A192" t="s">
        <v>362</v>
      </c>
      <c r="B192">
        <v>23</v>
      </c>
      <c r="C192" s="2">
        <v>45609</v>
      </c>
      <c r="D192" t="s">
        <v>174</v>
      </c>
      <c r="E192" t="s">
        <v>162</v>
      </c>
      <c r="F192" t="s">
        <v>163</v>
      </c>
    </row>
    <row r="193" spans="1:6">
      <c r="A193" t="s">
        <v>363</v>
      </c>
      <c r="B193">
        <v>23</v>
      </c>
      <c r="C193" s="2">
        <v>45428</v>
      </c>
      <c r="D193" t="s">
        <v>169</v>
      </c>
      <c r="E193" t="s">
        <v>162</v>
      </c>
      <c r="F193" t="s">
        <v>163</v>
      </c>
    </row>
    <row r="194" spans="1:6">
      <c r="A194" t="s">
        <v>364</v>
      </c>
      <c r="B194">
        <v>23</v>
      </c>
      <c r="C194" s="2">
        <v>45611</v>
      </c>
      <c r="D194" t="s">
        <v>174</v>
      </c>
      <c r="E194" t="s">
        <v>162</v>
      </c>
      <c r="F194" t="s">
        <v>183</v>
      </c>
    </row>
    <row r="195" spans="1:6">
      <c r="A195" t="s">
        <v>365</v>
      </c>
      <c r="B195">
        <v>24</v>
      </c>
      <c r="C195" s="2">
        <v>45520</v>
      </c>
      <c r="D195" t="s">
        <v>174</v>
      </c>
      <c r="E195" t="s">
        <v>167</v>
      </c>
      <c r="F195" t="s">
        <v>183</v>
      </c>
    </row>
    <row r="196" spans="1:6">
      <c r="A196" t="s">
        <v>366</v>
      </c>
      <c r="B196">
        <v>24</v>
      </c>
      <c r="C196" s="2">
        <v>45296</v>
      </c>
      <c r="D196" t="s">
        <v>161</v>
      </c>
      <c r="E196" t="s">
        <v>165</v>
      </c>
      <c r="F196" t="s">
        <v>163</v>
      </c>
    </row>
    <row r="197" spans="1:6">
      <c r="A197" t="s">
        <v>367</v>
      </c>
      <c r="B197">
        <v>25</v>
      </c>
      <c r="C197" s="2">
        <v>45380</v>
      </c>
      <c r="D197" t="s">
        <v>172</v>
      </c>
      <c r="E197" t="s">
        <v>167</v>
      </c>
      <c r="F197" t="s">
        <v>163</v>
      </c>
    </row>
    <row r="198" spans="1:6">
      <c r="A198" t="s">
        <v>368</v>
      </c>
      <c r="B198">
        <v>25</v>
      </c>
      <c r="C198" s="2">
        <v>45619</v>
      </c>
      <c r="D198" t="s">
        <v>161</v>
      </c>
      <c r="E198" t="s">
        <v>178</v>
      </c>
      <c r="F198" t="s">
        <v>163</v>
      </c>
    </row>
    <row r="199" spans="1:6">
      <c r="A199" t="s">
        <v>369</v>
      </c>
      <c r="B199">
        <v>25</v>
      </c>
      <c r="C199" s="2">
        <v>45354</v>
      </c>
      <c r="D199" t="s">
        <v>189</v>
      </c>
      <c r="E199" t="s">
        <v>178</v>
      </c>
      <c r="F199" t="s">
        <v>163</v>
      </c>
    </row>
    <row r="200" spans="1:6">
      <c r="A200" t="s">
        <v>370</v>
      </c>
      <c r="B200">
        <v>25</v>
      </c>
      <c r="C200" s="2">
        <v>45600</v>
      </c>
      <c r="D200" t="s">
        <v>161</v>
      </c>
      <c r="E200" t="s">
        <v>165</v>
      </c>
      <c r="F200" t="s">
        <v>163</v>
      </c>
    </row>
    <row r="201" spans="1:6">
      <c r="A201" t="s">
        <v>371</v>
      </c>
      <c r="B201">
        <v>25</v>
      </c>
      <c r="C201" s="2">
        <v>45358</v>
      </c>
      <c r="D201" t="s">
        <v>161</v>
      </c>
      <c r="E201" t="s">
        <v>162</v>
      </c>
      <c r="F201" t="s">
        <v>163</v>
      </c>
    </row>
    <row r="202" spans="1:6">
      <c r="A202" t="s">
        <v>372</v>
      </c>
      <c r="B202">
        <v>25</v>
      </c>
      <c r="C202" s="2">
        <v>45306</v>
      </c>
      <c r="D202" t="s">
        <v>172</v>
      </c>
      <c r="E202" t="s">
        <v>178</v>
      </c>
      <c r="F202" t="s">
        <v>163</v>
      </c>
    </row>
    <row r="203" spans="1:6">
      <c r="A203" t="s">
        <v>373</v>
      </c>
      <c r="B203">
        <v>25</v>
      </c>
      <c r="C203" s="2">
        <v>45448</v>
      </c>
      <c r="D203" t="s">
        <v>189</v>
      </c>
      <c r="E203" t="s">
        <v>178</v>
      </c>
      <c r="F203" t="s">
        <v>183</v>
      </c>
    </row>
    <row r="204" spans="1:6">
      <c r="A204" t="s">
        <v>374</v>
      </c>
      <c r="B204">
        <v>25</v>
      </c>
      <c r="C204" s="2">
        <v>45580</v>
      </c>
      <c r="D204" t="s">
        <v>174</v>
      </c>
      <c r="E204" t="s">
        <v>167</v>
      </c>
      <c r="F204" t="s">
        <v>183</v>
      </c>
    </row>
    <row r="205" spans="1:6">
      <c r="A205" t="s">
        <v>375</v>
      </c>
      <c r="B205">
        <v>25</v>
      </c>
      <c r="C205" s="2">
        <v>45409</v>
      </c>
      <c r="D205" t="s">
        <v>172</v>
      </c>
      <c r="E205" t="s">
        <v>165</v>
      </c>
      <c r="F205" t="s">
        <v>163</v>
      </c>
    </row>
    <row r="206" spans="1:6">
      <c r="A206" t="s">
        <v>376</v>
      </c>
      <c r="B206">
        <v>25</v>
      </c>
      <c r="C206" s="2">
        <v>45475</v>
      </c>
      <c r="D206" t="s">
        <v>172</v>
      </c>
      <c r="E206" t="s">
        <v>162</v>
      </c>
      <c r="F206" t="s">
        <v>163</v>
      </c>
    </row>
    <row r="207" spans="1:6">
      <c r="A207" t="s">
        <v>377</v>
      </c>
      <c r="B207">
        <v>25</v>
      </c>
      <c r="C207" s="2">
        <v>45615</v>
      </c>
      <c r="D207" t="s">
        <v>174</v>
      </c>
      <c r="E207" t="s">
        <v>178</v>
      </c>
      <c r="F207" t="s">
        <v>183</v>
      </c>
    </row>
    <row r="208" spans="1:6">
      <c r="A208" t="s">
        <v>378</v>
      </c>
      <c r="B208">
        <v>25</v>
      </c>
      <c r="C208" s="2">
        <v>45406</v>
      </c>
      <c r="D208" t="s">
        <v>161</v>
      </c>
      <c r="E208" t="s">
        <v>162</v>
      </c>
      <c r="F208" t="s">
        <v>163</v>
      </c>
    </row>
    <row r="209" spans="1:6">
      <c r="A209" t="s">
        <v>379</v>
      </c>
      <c r="B209">
        <v>25</v>
      </c>
      <c r="C209" s="2">
        <v>45302</v>
      </c>
      <c r="D209" t="s">
        <v>169</v>
      </c>
      <c r="E209" t="s">
        <v>162</v>
      </c>
      <c r="F209" t="s">
        <v>163</v>
      </c>
    </row>
    <row r="210" spans="1:6">
      <c r="A210" t="s">
        <v>380</v>
      </c>
      <c r="B210">
        <v>25</v>
      </c>
      <c r="C210" s="2">
        <v>45314</v>
      </c>
      <c r="D210" t="s">
        <v>169</v>
      </c>
      <c r="E210" t="s">
        <v>167</v>
      </c>
      <c r="F210" t="s">
        <v>163</v>
      </c>
    </row>
    <row r="211" spans="1:6">
      <c r="A211" t="s">
        <v>381</v>
      </c>
      <c r="B211">
        <v>25</v>
      </c>
      <c r="C211" s="2">
        <v>45432</v>
      </c>
      <c r="D211" t="s">
        <v>169</v>
      </c>
      <c r="E211" t="s">
        <v>178</v>
      </c>
      <c r="F211" t="s">
        <v>163</v>
      </c>
    </row>
    <row r="212" spans="1:6">
      <c r="A212" t="s">
        <v>382</v>
      </c>
      <c r="B212">
        <v>25</v>
      </c>
      <c r="C212" s="2">
        <v>45647</v>
      </c>
      <c r="D212" t="s">
        <v>174</v>
      </c>
      <c r="E212" t="s">
        <v>178</v>
      </c>
      <c r="F212" t="s">
        <v>170</v>
      </c>
    </row>
    <row r="213" spans="1:6">
      <c r="A213" t="s">
        <v>383</v>
      </c>
      <c r="B213">
        <v>25</v>
      </c>
      <c r="C213" s="2">
        <v>45397</v>
      </c>
      <c r="D213" t="s">
        <v>189</v>
      </c>
      <c r="E213" t="s">
        <v>162</v>
      </c>
      <c r="F213" t="s">
        <v>163</v>
      </c>
    </row>
    <row r="214" spans="1:6">
      <c r="A214" t="s">
        <v>384</v>
      </c>
      <c r="B214">
        <v>25</v>
      </c>
      <c r="C214" s="2">
        <v>45342</v>
      </c>
      <c r="D214" t="s">
        <v>172</v>
      </c>
      <c r="E214" t="s">
        <v>167</v>
      </c>
      <c r="F214" t="s">
        <v>170</v>
      </c>
    </row>
    <row r="215" spans="1:6">
      <c r="A215" t="s">
        <v>385</v>
      </c>
      <c r="B215">
        <v>26</v>
      </c>
      <c r="C215" s="2">
        <v>45548</v>
      </c>
      <c r="D215" t="s">
        <v>172</v>
      </c>
      <c r="E215" t="s">
        <v>178</v>
      </c>
      <c r="F215" t="s">
        <v>163</v>
      </c>
    </row>
    <row r="216" spans="1:6">
      <c r="A216" t="s">
        <v>386</v>
      </c>
      <c r="B216">
        <v>26</v>
      </c>
      <c r="C216" s="2">
        <v>45473</v>
      </c>
      <c r="D216" t="s">
        <v>189</v>
      </c>
      <c r="E216" t="s">
        <v>178</v>
      </c>
      <c r="F216" t="s">
        <v>183</v>
      </c>
    </row>
    <row r="217" spans="1:6">
      <c r="A217" t="s">
        <v>387</v>
      </c>
      <c r="B217">
        <v>27</v>
      </c>
      <c r="C217" s="2">
        <v>45440</v>
      </c>
      <c r="D217" t="s">
        <v>189</v>
      </c>
      <c r="E217" t="s">
        <v>178</v>
      </c>
      <c r="F217" t="s">
        <v>163</v>
      </c>
    </row>
    <row r="218" spans="1:6">
      <c r="A218" t="s">
        <v>388</v>
      </c>
      <c r="B218">
        <v>27</v>
      </c>
      <c r="C218" s="2">
        <v>45408</v>
      </c>
      <c r="D218" t="s">
        <v>169</v>
      </c>
      <c r="E218" t="s">
        <v>178</v>
      </c>
      <c r="F218" t="s">
        <v>163</v>
      </c>
    </row>
    <row r="219" spans="1:6">
      <c r="A219" t="s">
        <v>389</v>
      </c>
      <c r="B219">
        <v>27</v>
      </c>
      <c r="C219" s="2">
        <v>45316</v>
      </c>
      <c r="D219" t="s">
        <v>169</v>
      </c>
      <c r="E219" t="s">
        <v>165</v>
      </c>
      <c r="F219" t="s">
        <v>170</v>
      </c>
    </row>
    <row r="220" spans="1:6">
      <c r="A220" t="s">
        <v>390</v>
      </c>
      <c r="B220">
        <v>27</v>
      </c>
      <c r="C220" s="2">
        <v>45501</v>
      </c>
      <c r="D220" t="s">
        <v>161</v>
      </c>
      <c r="E220" t="s">
        <v>167</v>
      </c>
      <c r="F220" t="s">
        <v>170</v>
      </c>
    </row>
    <row r="221" spans="1:6">
      <c r="A221" t="s">
        <v>391</v>
      </c>
      <c r="B221">
        <v>27</v>
      </c>
      <c r="C221" s="2">
        <v>45655</v>
      </c>
      <c r="D221" t="s">
        <v>161</v>
      </c>
      <c r="E221" t="s">
        <v>165</v>
      </c>
      <c r="F221" t="s">
        <v>163</v>
      </c>
    </row>
    <row r="222" spans="1:6">
      <c r="A222" t="s">
        <v>392</v>
      </c>
      <c r="B222">
        <v>27</v>
      </c>
      <c r="C222" s="2">
        <v>45471</v>
      </c>
      <c r="D222" t="s">
        <v>172</v>
      </c>
      <c r="E222" t="s">
        <v>162</v>
      </c>
      <c r="F222" t="s">
        <v>163</v>
      </c>
    </row>
    <row r="223" spans="1:6">
      <c r="A223" t="s">
        <v>393</v>
      </c>
      <c r="B223">
        <v>27</v>
      </c>
      <c r="C223" s="2">
        <v>45354</v>
      </c>
      <c r="D223" t="s">
        <v>161</v>
      </c>
      <c r="E223" t="s">
        <v>167</v>
      </c>
      <c r="F223" t="s">
        <v>163</v>
      </c>
    </row>
    <row r="224" spans="1:6">
      <c r="A224" t="s">
        <v>394</v>
      </c>
      <c r="B224">
        <v>27</v>
      </c>
      <c r="C224" s="2">
        <v>45340</v>
      </c>
      <c r="D224" t="s">
        <v>189</v>
      </c>
      <c r="E224" t="s">
        <v>162</v>
      </c>
      <c r="F224" t="s">
        <v>163</v>
      </c>
    </row>
    <row r="225" spans="1:6">
      <c r="A225" t="s">
        <v>395</v>
      </c>
      <c r="B225">
        <v>27</v>
      </c>
      <c r="C225" s="2">
        <v>45633</v>
      </c>
      <c r="D225" t="s">
        <v>174</v>
      </c>
      <c r="E225" t="s">
        <v>165</v>
      </c>
      <c r="F225" t="s">
        <v>170</v>
      </c>
    </row>
    <row r="226" spans="1:6">
      <c r="A226" t="s">
        <v>396</v>
      </c>
      <c r="B226">
        <v>27</v>
      </c>
      <c r="C226" s="2">
        <v>45548</v>
      </c>
      <c r="D226" t="s">
        <v>172</v>
      </c>
      <c r="E226" t="s">
        <v>167</v>
      </c>
      <c r="F226" t="s">
        <v>183</v>
      </c>
    </row>
    <row r="227" spans="1:6">
      <c r="A227" t="s">
        <v>397</v>
      </c>
      <c r="B227">
        <v>27</v>
      </c>
      <c r="C227" s="2">
        <v>45502</v>
      </c>
      <c r="D227" t="s">
        <v>172</v>
      </c>
      <c r="E227" t="s">
        <v>178</v>
      </c>
      <c r="F227" t="s">
        <v>163</v>
      </c>
    </row>
    <row r="228" spans="1:6">
      <c r="A228" t="s">
        <v>398</v>
      </c>
      <c r="B228">
        <v>28</v>
      </c>
      <c r="C228" s="2">
        <v>45548</v>
      </c>
      <c r="D228" t="s">
        <v>161</v>
      </c>
      <c r="E228" t="s">
        <v>165</v>
      </c>
      <c r="F228" t="s">
        <v>163</v>
      </c>
    </row>
    <row r="229" spans="1:6">
      <c r="A229" t="s">
        <v>399</v>
      </c>
      <c r="B229">
        <v>28</v>
      </c>
      <c r="C229" s="2">
        <v>45404</v>
      </c>
      <c r="D229" t="s">
        <v>169</v>
      </c>
      <c r="E229" t="s">
        <v>167</v>
      </c>
      <c r="F229" t="s">
        <v>163</v>
      </c>
    </row>
    <row r="230" spans="1:6">
      <c r="A230" t="s">
        <v>400</v>
      </c>
      <c r="B230">
        <v>29</v>
      </c>
      <c r="C230" s="2">
        <v>45555</v>
      </c>
      <c r="D230" t="s">
        <v>172</v>
      </c>
      <c r="E230" t="s">
        <v>165</v>
      </c>
      <c r="F230" t="s">
        <v>170</v>
      </c>
    </row>
    <row r="231" spans="1:6">
      <c r="A231" t="s">
        <v>401</v>
      </c>
      <c r="B231">
        <v>29</v>
      </c>
      <c r="C231" s="2">
        <v>45557</v>
      </c>
      <c r="D231" t="s">
        <v>169</v>
      </c>
      <c r="E231" t="s">
        <v>165</v>
      </c>
      <c r="F231" t="s">
        <v>163</v>
      </c>
    </row>
    <row r="232" spans="1:6">
      <c r="A232" t="s">
        <v>402</v>
      </c>
      <c r="B232">
        <v>29</v>
      </c>
      <c r="C232" s="2">
        <v>45378</v>
      </c>
      <c r="D232" t="s">
        <v>174</v>
      </c>
      <c r="E232" t="s">
        <v>162</v>
      </c>
      <c r="F232" t="s">
        <v>183</v>
      </c>
    </row>
    <row r="233" spans="1:6">
      <c r="A233" t="s">
        <v>403</v>
      </c>
      <c r="B233">
        <v>29</v>
      </c>
      <c r="C233" s="2">
        <v>45299</v>
      </c>
      <c r="D233" t="s">
        <v>189</v>
      </c>
      <c r="E233" t="s">
        <v>178</v>
      </c>
      <c r="F233" t="s">
        <v>163</v>
      </c>
    </row>
    <row r="234" spans="1:6">
      <c r="A234" t="s">
        <v>404</v>
      </c>
      <c r="B234">
        <v>29</v>
      </c>
      <c r="C234" s="2">
        <v>45546</v>
      </c>
      <c r="D234" t="s">
        <v>172</v>
      </c>
      <c r="E234" t="s">
        <v>162</v>
      </c>
      <c r="F234" t="s">
        <v>163</v>
      </c>
    </row>
    <row r="235" spans="1:6">
      <c r="A235" t="s">
        <v>405</v>
      </c>
      <c r="B235">
        <v>29</v>
      </c>
      <c r="C235" s="2">
        <v>45520</v>
      </c>
      <c r="D235" t="s">
        <v>161</v>
      </c>
      <c r="E235" t="s">
        <v>165</v>
      </c>
      <c r="F235" t="s">
        <v>163</v>
      </c>
    </row>
    <row r="236" spans="1:6">
      <c r="A236" t="s">
        <v>406</v>
      </c>
      <c r="B236">
        <v>29</v>
      </c>
      <c r="C236" s="2">
        <v>45582</v>
      </c>
      <c r="D236" t="s">
        <v>161</v>
      </c>
      <c r="E236" t="s">
        <v>162</v>
      </c>
      <c r="F236" t="s">
        <v>163</v>
      </c>
    </row>
    <row r="237" spans="1:6">
      <c r="A237" t="s">
        <v>407</v>
      </c>
      <c r="B237">
        <v>29</v>
      </c>
      <c r="C237" s="2">
        <v>45514</v>
      </c>
      <c r="D237" t="s">
        <v>169</v>
      </c>
      <c r="E237" t="s">
        <v>165</v>
      </c>
      <c r="F237" t="s">
        <v>163</v>
      </c>
    </row>
    <row r="238" spans="1:6">
      <c r="A238" t="s">
        <v>408</v>
      </c>
      <c r="B238">
        <v>29</v>
      </c>
      <c r="C238" s="2">
        <v>45442</v>
      </c>
      <c r="D238" t="s">
        <v>172</v>
      </c>
      <c r="E238" t="s">
        <v>165</v>
      </c>
      <c r="F238" t="s">
        <v>163</v>
      </c>
    </row>
    <row r="239" spans="1:6">
      <c r="A239" t="s">
        <v>409</v>
      </c>
      <c r="B239">
        <v>29</v>
      </c>
      <c r="C239" s="2">
        <v>45327</v>
      </c>
      <c r="D239" t="s">
        <v>172</v>
      </c>
      <c r="E239" t="s">
        <v>162</v>
      </c>
      <c r="F239" t="s">
        <v>183</v>
      </c>
    </row>
    <row r="240" spans="1:6">
      <c r="A240" t="s">
        <v>410</v>
      </c>
      <c r="B240">
        <v>29</v>
      </c>
      <c r="C240" s="2">
        <v>45594</v>
      </c>
      <c r="D240" t="s">
        <v>172</v>
      </c>
      <c r="E240" t="s">
        <v>162</v>
      </c>
      <c r="F240" t="s">
        <v>163</v>
      </c>
    </row>
    <row r="241" spans="1:6">
      <c r="A241" t="s">
        <v>411</v>
      </c>
      <c r="B241">
        <v>29</v>
      </c>
      <c r="C241" s="2">
        <v>45486</v>
      </c>
      <c r="D241" t="s">
        <v>174</v>
      </c>
      <c r="E241" t="s">
        <v>162</v>
      </c>
      <c r="F241" t="s">
        <v>163</v>
      </c>
    </row>
    <row r="242" spans="1:6">
      <c r="A242" t="s">
        <v>412</v>
      </c>
      <c r="B242">
        <v>29</v>
      </c>
      <c r="C242" s="2">
        <v>45547</v>
      </c>
      <c r="D242" t="s">
        <v>189</v>
      </c>
      <c r="E242" t="s">
        <v>167</v>
      </c>
      <c r="F242" t="s">
        <v>183</v>
      </c>
    </row>
    <row r="243" spans="1:6">
      <c r="A243" t="s">
        <v>413</v>
      </c>
      <c r="B243">
        <v>29</v>
      </c>
      <c r="C243" s="2">
        <v>45571</v>
      </c>
      <c r="D243" t="s">
        <v>189</v>
      </c>
      <c r="E243" t="s">
        <v>167</v>
      </c>
      <c r="F243" t="s">
        <v>163</v>
      </c>
    </row>
    <row r="244" spans="1:6">
      <c r="A244" t="s">
        <v>414</v>
      </c>
      <c r="B244">
        <v>29</v>
      </c>
      <c r="C244" s="2">
        <v>45506</v>
      </c>
      <c r="D244" t="s">
        <v>189</v>
      </c>
      <c r="E244" t="s">
        <v>167</v>
      </c>
      <c r="F244" t="s">
        <v>163</v>
      </c>
    </row>
    <row r="245" spans="1:6">
      <c r="A245" t="s">
        <v>415</v>
      </c>
      <c r="B245">
        <v>29</v>
      </c>
      <c r="C245" s="2">
        <v>45300</v>
      </c>
      <c r="D245" t="s">
        <v>169</v>
      </c>
      <c r="E245" t="s">
        <v>178</v>
      </c>
      <c r="F245" t="s">
        <v>163</v>
      </c>
    </row>
    <row r="246" spans="1:6">
      <c r="A246" t="s">
        <v>416</v>
      </c>
      <c r="B246">
        <v>29</v>
      </c>
      <c r="C246" s="2">
        <v>45537</v>
      </c>
      <c r="D246" t="s">
        <v>161</v>
      </c>
      <c r="E246" t="s">
        <v>167</v>
      </c>
      <c r="F246" t="s">
        <v>170</v>
      </c>
    </row>
    <row r="247" spans="1:6">
      <c r="A247" t="s">
        <v>417</v>
      </c>
      <c r="B247">
        <v>29</v>
      </c>
      <c r="C247" s="2">
        <v>45389</v>
      </c>
      <c r="D247" t="s">
        <v>172</v>
      </c>
      <c r="E247" t="s">
        <v>165</v>
      </c>
      <c r="F247" t="s">
        <v>183</v>
      </c>
    </row>
    <row r="248" spans="1:6">
      <c r="A248" t="s">
        <v>418</v>
      </c>
      <c r="B248">
        <v>29</v>
      </c>
      <c r="C248" s="2">
        <v>45333</v>
      </c>
      <c r="D248" t="s">
        <v>174</v>
      </c>
      <c r="E248" t="s">
        <v>178</v>
      </c>
      <c r="F248" t="s">
        <v>163</v>
      </c>
    </row>
    <row r="249" spans="1:6">
      <c r="A249" t="s">
        <v>419</v>
      </c>
      <c r="B249">
        <v>31</v>
      </c>
      <c r="C249" s="2">
        <v>45378</v>
      </c>
      <c r="D249" t="s">
        <v>172</v>
      </c>
      <c r="E249" t="s">
        <v>167</v>
      </c>
      <c r="F249" t="s">
        <v>163</v>
      </c>
    </row>
    <row r="250" spans="1:6">
      <c r="A250" t="s">
        <v>420</v>
      </c>
      <c r="B250">
        <v>31</v>
      </c>
      <c r="C250" s="2">
        <v>45604</v>
      </c>
      <c r="D250" t="s">
        <v>161</v>
      </c>
      <c r="E250" t="s">
        <v>162</v>
      </c>
      <c r="F250" t="s">
        <v>163</v>
      </c>
    </row>
    <row r="251" spans="1:6">
      <c r="A251" t="s">
        <v>421</v>
      </c>
      <c r="B251">
        <v>31</v>
      </c>
      <c r="C251" s="2">
        <v>45600</v>
      </c>
      <c r="D251" t="s">
        <v>169</v>
      </c>
      <c r="E251" t="s">
        <v>178</v>
      </c>
      <c r="F251" t="s">
        <v>183</v>
      </c>
    </row>
    <row r="252" spans="1:6">
      <c r="A252" t="s">
        <v>422</v>
      </c>
      <c r="B252">
        <v>31</v>
      </c>
      <c r="C252" s="2">
        <v>45481</v>
      </c>
      <c r="D252" t="s">
        <v>169</v>
      </c>
      <c r="E252" t="s">
        <v>167</v>
      </c>
      <c r="F252" t="s">
        <v>163</v>
      </c>
    </row>
    <row r="253" spans="1:6">
      <c r="A253" t="s">
        <v>423</v>
      </c>
      <c r="B253">
        <v>31</v>
      </c>
      <c r="C253" s="2">
        <v>45654</v>
      </c>
      <c r="D253" t="s">
        <v>189</v>
      </c>
      <c r="E253" t="s">
        <v>165</v>
      </c>
      <c r="F253" t="s">
        <v>163</v>
      </c>
    </row>
    <row r="254" spans="1:6">
      <c r="A254" t="s">
        <v>424</v>
      </c>
      <c r="B254">
        <v>31</v>
      </c>
      <c r="C254" s="2">
        <v>45573</v>
      </c>
      <c r="D254" t="s">
        <v>172</v>
      </c>
      <c r="E254" t="s">
        <v>178</v>
      </c>
      <c r="F254" t="s">
        <v>183</v>
      </c>
    </row>
    <row r="255" spans="1:6">
      <c r="A255" t="s">
        <v>425</v>
      </c>
      <c r="B255">
        <v>31</v>
      </c>
      <c r="C255" s="2">
        <v>45455</v>
      </c>
      <c r="D255" t="s">
        <v>189</v>
      </c>
      <c r="E255" t="s">
        <v>165</v>
      </c>
      <c r="F255" t="s">
        <v>163</v>
      </c>
    </row>
    <row r="256" spans="1:6">
      <c r="A256" t="s">
        <v>426</v>
      </c>
      <c r="B256">
        <v>31</v>
      </c>
      <c r="C256" s="2">
        <v>45346</v>
      </c>
      <c r="D256" t="s">
        <v>172</v>
      </c>
      <c r="E256" t="s">
        <v>162</v>
      </c>
      <c r="F256" t="s">
        <v>163</v>
      </c>
    </row>
    <row r="257" spans="1:6">
      <c r="A257" t="s">
        <v>427</v>
      </c>
      <c r="B257">
        <v>31</v>
      </c>
      <c r="C257" s="2">
        <v>45439</v>
      </c>
      <c r="D257" t="s">
        <v>161</v>
      </c>
      <c r="E257" t="s">
        <v>165</v>
      </c>
      <c r="F257" t="s">
        <v>183</v>
      </c>
    </row>
    <row r="258" spans="1:6">
      <c r="A258" t="s">
        <v>428</v>
      </c>
      <c r="B258">
        <v>33</v>
      </c>
      <c r="C258" s="2">
        <v>45656</v>
      </c>
      <c r="D258" t="s">
        <v>161</v>
      </c>
      <c r="E258" t="s">
        <v>167</v>
      </c>
      <c r="F258" t="s">
        <v>163</v>
      </c>
    </row>
    <row r="259" spans="1:6">
      <c r="A259" t="s">
        <v>429</v>
      </c>
      <c r="B259">
        <v>33</v>
      </c>
      <c r="C259" s="2">
        <v>45364</v>
      </c>
      <c r="D259" t="s">
        <v>189</v>
      </c>
      <c r="E259" t="s">
        <v>162</v>
      </c>
      <c r="F259" t="s">
        <v>183</v>
      </c>
    </row>
    <row r="260" spans="1:6">
      <c r="A260" t="s">
        <v>430</v>
      </c>
      <c r="B260">
        <v>33</v>
      </c>
      <c r="C260" s="2">
        <v>45352</v>
      </c>
      <c r="D260" t="s">
        <v>161</v>
      </c>
      <c r="E260" t="s">
        <v>162</v>
      </c>
      <c r="F260" t="s">
        <v>163</v>
      </c>
    </row>
    <row r="261" spans="1:6">
      <c r="A261" t="s">
        <v>431</v>
      </c>
      <c r="B261">
        <v>33</v>
      </c>
      <c r="C261" s="2">
        <v>45582</v>
      </c>
      <c r="D261" t="s">
        <v>161</v>
      </c>
      <c r="E261" t="s">
        <v>167</v>
      </c>
      <c r="F261" t="s">
        <v>183</v>
      </c>
    </row>
    <row r="262" spans="1:6">
      <c r="A262" t="s">
        <v>432</v>
      </c>
      <c r="B262">
        <v>33</v>
      </c>
      <c r="C262" s="2">
        <v>45393</v>
      </c>
      <c r="D262" t="s">
        <v>169</v>
      </c>
      <c r="E262" t="s">
        <v>162</v>
      </c>
      <c r="F262" t="s">
        <v>163</v>
      </c>
    </row>
    <row r="263" spans="1:6">
      <c r="A263" t="s">
        <v>433</v>
      </c>
      <c r="B263">
        <v>33</v>
      </c>
      <c r="C263" s="2">
        <v>45596</v>
      </c>
      <c r="D263" t="s">
        <v>172</v>
      </c>
      <c r="E263" t="s">
        <v>178</v>
      </c>
      <c r="F263" t="s">
        <v>170</v>
      </c>
    </row>
    <row r="264" spans="1:6">
      <c r="A264" t="s">
        <v>434</v>
      </c>
      <c r="B264">
        <v>33</v>
      </c>
      <c r="C264" s="2">
        <v>45303</v>
      </c>
      <c r="D264" t="s">
        <v>161</v>
      </c>
      <c r="E264" t="s">
        <v>162</v>
      </c>
      <c r="F264" t="s">
        <v>163</v>
      </c>
    </row>
    <row r="265" spans="1:6">
      <c r="A265" t="s">
        <v>435</v>
      </c>
      <c r="B265">
        <v>33</v>
      </c>
      <c r="C265" s="2">
        <v>45506</v>
      </c>
      <c r="D265" t="s">
        <v>172</v>
      </c>
      <c r="E265" t="s">
        <v>167</v>
      </c>
      <c r="F265" t="s">
        <v>163</v>
      </c>
    </row>
    <row r="266" spans="1:6">
      <c r="A266" t="s">
        <v>436</v>
      </c>
      <c r="B266">
        <v>33</v>
      </c>
      <c r="C266" s="2">
        <v>45316</v>
      </c>
      <c r="D266" t="s">
        <v>169</v>
      </c>
      <c r="E266" t="s">
        <v>178</v>
      </c>
      <c r="F266" t="s">
        <v>163</v>
      </c>
    </row>
    <row r="267" spans="1:6">
      <c r="A267" t="s">
        <v>437</v>
      </c>
      <c r="B267">
        <v>33</v>
      </c>
      <c r="C267" s="2">
        <v>45557</v>
      </c>
      <c r="D267" t="s">
        <v>189</v>
      </c>
      <c r="E267" t="s">
        <v>165</v>
      </c>
      <c r="F267" t="s">
        <v>163</v>
      </c>
    </row>
    <row r="268" spans="1:6">
      <c r="A268" t="s">
        <v>438</v>
      </c>
      <c r="B268">
        <v>33</v>
      </c>
      <c r="C268" s="2">
        <v>45541</v>
      </c>
      <c r="D268" t="s">
        <v>172</v>
      </c>
      <c r="E268" t="s">
        <v>165</v>
      </c>
      <c r="F268" t="s">
        <v>163</v>
      </c>
    </row>
    <row r="269" spans="1:6">
      <c r="A269" t="s">
        <v>439</v>
      </c>
      <c r="B269">
        <v>33</v>
      </c>
      <c r="C269" s="2">
        <v>45619</v>
      </c>
      <c r="D269" t="s">
        <v>169</v>
      </c>
      <c r="E269" t="s">
        <v>165</v>
      </c>
      <c r="F269" t="s">
        <v>170</v>
      </c>
    </row>
    <row r="270" spans="1:6">
      <c r="A270" t="s">
        <v>440</v>
      </c>
      <c r="B270">
        <v>33</v>
      </c>
      <c r="C270" s="2">
        <v>45514</v>
      </c>
      <c r="D270" t="s">
        <v>174</v>
      </c>
      <c r="E270" t="s">
        <v>165</v>
      </c>
      <c r="F270" t="s">
        <v>163</v>
      </c>
    </row>
    <row r="271" spans="1:6">
      <c r="A271" t="s">
        <v>441</v>
      </c>
      <c r="B271">
        <v>33</v>
      </c>
      <c r="C271" s="2">
        <v>45394</v>
      </c>
      <c r="D271" t="s">
        <v>189</v>
      </c>
      <c r="E271" t="s">
        <v>167</v>
      </c>
      <c r="F271" t="s">
        <v>163</v>
      </c>
    </row>
    <row r="272" spans="1:6">
      <c r="A272" t="s">
        <v>442</v>
      </c>
      <c r="B272">
        <v>33</v>
      </c>
      <c r="C272" s="2">
        <v>45479</v>
      </c>
      <c r="D272" t="s">
        <v>172</v>
      </c>
      <c r="E272" t="s">
        <v>167</v>
      </c>
      <c r="F272" t="s">
        <v>183</v>
      </c>
    </row>
    <row r="273" spans="1:6">
      <c r="A273" t="s">
        <v>443</v>
      </c>
      <c r="B273">
        <v>33</v>
      </c>
      <c r="C273" s="2">
        <v>45474</v>
      </c>
      <c r="D273" t="s">
        <v>174</v>
      </c>
      <c r="E273" t="s">
        <v>165</v>
      </c>
      <c r="F273" t="s">
        <v>163</v>
      </c>
    </row>
    <row r="274" spans="1:6">
      <c r="A274" t="s">
        <v>444</v>
      </c>
      <c r="B274">
        <v>33</v>
      </c>
      <c r="C274" s="2">
        <v>45295</v>
      </c>
      <c r="D274" t="s">
        <v>172</v>
      </c>
      <c r="E274" t="s">
        <v>167</v>
      </c>
      <c r="F274" t="s">
        <v>163</v>
      </c>
    </row>
    <row r="275" spans="1:6">
      <c r="A275" t="s">
        <v>445</v>
      </c>
      <c r="B275">
        <v>33</v>
      </c>
      <c r="C275" s="2">
        <v>45452</v>
      </c>
      <c r="D275" t="s">
        <v>172</v>
      </c>
      <c r="E275" t="s">
        <v>167</v>
      </c>
      <c r="F275" t="s">
        <v>183</v>
      </c>
    </row>
    <row r="276" spans="1:6">
      <c r="A276" t="s">
        <v>446</v>
      </c>
      <c r="B276">
        <v>34</v>
      </c>
      <c r="C276" s="2">
        <v>45518</v>
      </c>
      <c r="D276" t="s">
        <v>169</v>
      </c>
      <c r="E276" t="s">
        <v>167</v>
      </c>
      <c r="F276" t="s">
        <v>163</v>
      </c>
    </row>
    <row r="277" spans="1:6">
      <c r="A277" t="s">
        <v>447</v>
      </c>
      <c r="B277">
        <v>35</v>
      </c>
      <c r="C277" s="2">
        <v>45432</v>
      </c>
      <c r="D277" t="s">
        <v>169</v>
      </c>
      <c r="E277" t="s">
        <v>162</v>
      </c>
      <c r="F277" t="s">
        <v>170</v>
      </c>
    </row>
    <row r="278" spans="1:6">
      <c r="A278" t="s">
        <v>448</v>
      </c>
      <c r="B278">
        <v>35</v>
      </c>
      <c r="C278" s="2">
        <v>45593</v>
      </c>
      <c r="D278" t="s">
        <v>174</v>
      </c>
      <c r="E278" t="s">
        <v>178</v>
      </c>
      <c r="F278" t="s">
        <v>183</v>
      </c>
    </row>
    <row r="279" spans="1:6">
      <c r="A279" t="s">
        <v>449</v>
      </c>
      <c r="B279">
        <v>35</v>
      </c>
      <c r="C279" s="2">
        <v>45609</v>
      </c>
      <c r="D279" t="s">
        <v>172</v>
      </c>
      <c r="E279" t="s">
        <v>162</v>
      </c>
      <c r="F279" t="s">
        <v>163</v>
      </c>
    </row>
    <row r="280" spans="1:6">
      <c r="A280" t="s">
        <v>450</v>
      </c>
      <c r="B280">
        <v>35</v>
      </c>
      <c r="C280" s="2">
        <v>45527</v>
      </c>
      <c r="D280" t="s">
        <v>189</v>
      </c>
      <c r="E280" t="s">
        <v>167</v>
      </c>
      <c r="F280" t="s">
        <v>163</v>
      </c>
    </row>
    <row r="281" spans="1:6">
      <c r="A281" t="s">
        <v>451</v>
      </c>
      <c r="B281">
        <v>35</v>
      </c>
      <c r="C281" s="2">
        <v>45650</v>
      </c>
      <c r="D281" t="s">
        <v>174</v>
      </c>
      <c r="E281" t="s">
        <v>178</v>
      </c>
      <c r="F281" t="s">
        <v>183</v>
      </c>
    </row>
    <row r="282" spans="1:6">
      <c r="A282" t="s">
        <v>452</v>
      </c>
      <c r="B282">
        <v>35</v>
      </c>
      <c r="C282" s="2">
        <v>45294</v>
      </c>
      <c r="D282" t="s">
        <v>172</v>
      </c>
      <c r="E282" t="s">
        <v>167</v>
      </c>
      <c r="F282" t="s">
        <v>163</v>
      </c>
    </row>
    <row r="283" spans="1:6">
      <c r="A283" t="s">
        <v>453</v>
      </c>
      <c r="B283">
        <v>35</v>
      </c>
      <c r="C283" s="2">
        <v>45615</v>
      </c>
      <c r="D283" t="s">
        <v>169</v>
      </c>
      <c r="E283" t="s">
        <v>167</v>
      </c>
      <c r="F283" t="s">
        <v>163</v>
      </c>
    </row>
    <row r="284" spans="1:6">
      <c r="A284" t="s">
        <v>454</v>
      </c>
      <c r="B284">
        <v>35</v>
      </c>
      <c r="C284" s="2">
        <v>45484</v>
      </c>
      <c r="D284" t="s">
        <v>172</v>
      </c>
      <c r="E284" t="s">
        <v>167</v>
      </c>
      <c r="F284" t="s">
        <v>163</v>
      </c>
    </row>
    <row r="285" spans="1:6">
      <c r="A285" t="s">
        <v>455</v>
      </c>
      <c r="B285">
        <v>35</v>
      </c>
      <c r="C285" s="2">
        <v>45596</v>
      </c>
      <c r="D285" t="s">
        <v>189</v>
      </c>
      <c r="E285" t="s">
        <v>162</v>
      </c>
      <c r="F285" t="s">
        <v>163</v>
      </c>
    </row>
    <row r="286" spans="1:6">
      <c r="A286" t="s">
        <v>456</v>
      </c>
      <c r="B286">
        <v>35</v>
      </c>
      <c r="C286" s="2">
        <v>45584</v>
      </c>
      <c r="D286" t="s">
        <v>172</v>
      </c>
      <c r="E286" t="s">
        <v>178</v>
      </c>
      <c r="F286" t="s">
        <v>163</v>
      </c>
    </row>
    <row r="287" spans="1:6">
      <c r="A287" t="s">
        <v>457</v>
      </c>
      <c r="B287">
        <v>35</v>
      </c>
      <c r="C287" s="2">
        <v>45586</v>
      </c>
      <c r="D287" t="s">
        <v>161</v>
      </c>
      <c r="E287" t="s">
        <v>167</v>
      </c>
      <c r="F287" t="s">
        <v>163</v>
      </c>
    </row>
    <row r="288" spans="1:6">
      <c r="A288" t="s">
        <v>458</v>
      </c>
      <c r="B288">
        <v>37</v>
      </c>
      <c r="C288" s="2">
        <v>45551</v>
      </c>
      <c r="D288" t="s">
        <v>161</v>
      </c>
      <c r="E288" t="s">
        <v>162</v>
      </c>
      <c r="F288" t="s">
        <v>170</v>
      </c>
    </row>
    <row r="289" spans="1:6">
      <c r="A289" t="s">
        <v>459</v>
      </c>
      <c r="B289">
        <v>37</v>
      </c>
      <c r="C289" s="2">
        <v>45601</v>
      </c>
      <c r="D289" t="s">
        <v>172</v>
      </c>
      <c r="E289" t="s">
        <v>165</v>
      </c>
      <c r="F289" t="s">
        <v>163</v>
      </c>
    </row>
    <row r="290" spans="1:6">
      <c r="A290" t="s">
        <v>460</v>
      </c>
      <c r="B290">
        <v>37</v>
      </c>
      <c r="C290" s="2">
        <v>45398</v>
      </c>
      <c r="D290" t="s">
        <v>169</v>
      </c>
      <c r="E290" t="s">
        <v>178</v>
      </c>
      <c r="F290" t="s">
        <v>163</v>
      </c>
    </row>
    <row r="291" spans="1:6">
      <c r="A291" t="s">
        <v>461</v>
      </c>
      <c r="B291">
        <v>37</v>
      </c>
      <c r="C291" s="2">
        <v>45550</v>
      </c>
      <c r="D291" t="s">
        <v>172</v>
      </c>
      <c r="E291" t="s">
        <v>178</v>
      </c>
      <c r="F291" t="s">
        <v>163</v>
      </c>
    </row>
    <row r="292" spans="1:6">
      <c r="A292" t="s">
        <v>462</v>
      </c>
      <c r="B292">
        <v>37</v>
      </c>
      <c r="C292" s="2">
        <v>45468</v>
      </c>
      <c r="D292" t="s">
        <v>189</v>
      </c>
      <c r="E292" t="s">
        <v>165</v>
      </c>
      <c r="F292" t="s">
        <v>163</v>
      </c>
    </row>
    <row r="293" spans="1:6">
      <c r="A293" t="s">
        <v>463</v>
      </c>
      <c r="B293">
        <v>37</v>
      </c>
      <c r="C293" s="2">
        <v>45352</v>
      </c>
      <c r="D293" t="s">
        <v>161</v>
      </c>
      <c r="E293" t="s">
        <v>167</v>
      </c>
      <c r="F293" t="s">
        <v>163</v>
      </c>
    </row>
    <row r="294" spans="1:6">
      <c r="A294" t="s">
        <v>464</v>
      </c>
      <c r="B294">
        <v>37</v>
      </c>
      <c r="C294" s="2">
        <v>45353</v>
      </c>
      <c r="D294" t="s">
        <v>189</v>
      </c>
      <c r="E294" t="s">
        <v>162</v>
      </c>
      <c r="F294" t="s">
        <v>183</v>
      </c>
    </row>
    <row r="295" spans="1:6">
      <c r="A295" t="s">
        <v>465</v>
      </c>
      <c r="B295">
        <v>37</v>
      </c>
      <c r="C295" s="2">
        <v>45560</v>
      </c>
      <c r="D295" t="s">
        <v>172</v>
      </c>
      <c r="E295" t="s">
        <v>165</v>
      </c>
      <c r="F295" t="s">
        <v>163</v>
      </c>
    </row>
    <row r="296" spans="1:6">
      <c r="A296" t="s">
        <v>466</v>
      </c>
      <c r="B296">
        <v>37</v>
      </c>
      <c r="C296" s="2">
        <v>45648</v>
      </c>
      <c r="D296" t="s">
        <v>169</v>
      </c>
      <c r="E296" t="s">
        <v>165</v>
      </c>
      <c r="F296" t="s">
        <v>183</v>
      </c>
    </row>
    <row r="297" spans="1:6">
      <c r="A297" t="s">
        <v>467</v>
      </c>
      <c r="B297">
        <v>37</v>
      </c>
      <c r="C297" s="2">
        <v>45414</v>
      </c>
      <c r="D297" t="s">
        <v>174</v>
      </c>
      <c r="E297" t="s">
        <v>178</v>
      </c>
      <c r="F297" t="s">
        <v>183</v>
      </c>
    </row>
    <row r="298" spans="1:6">
      <c r="A298" t="s">
        <v>468</v>
      </c>
      <c r="B298">
        <v>37</v>
      </c>
      <c r="C298" s="2">
        <v>45623</v>
      </c>
      <c r="D298" t="s">
        <v>169</v>
      </c>
      <c r="E298" t="s">
        <v>178</v>
      </c>
      <c r="F298" t="s">
        <v>163</v>
      </c>
    </row>
    <row r="299" spans="1:6">
      <c r="A299" t="s">
        <v>469</v>
      </c>
      <c r="B299">
        <v>39</v>
      </c>
      <c r="C299" s="2">
        <v>45517</v>
      </c>
      <c r="D299" t="s">
        <v>174</v>
      </c>
      <c r="E299" t="s">
        <v>165</v>
      </c>
      <c r="F299" t="s">
        <v>163</v>
      </c>
    </row>
    <row r="300" spans="1:6">
      <c r="A300" t="s">
        <v>470</v>
      </c>
      <c r="B300">
        <v>39</v>
      </c>
      <c r="C300" s="2">
        <v>45467</v>
      </c>
      <c r="D300" t="s">
        <v>169</v>
      </c>
      <c r="E300" t="s">
        <v>167</v>
      </c>
      <c r="F300" t="s">
        <v>163</v>
      </c>
    </row>
    <row r="301" spans="1:6">
      <c r="A301" t="s">
        <v>471</v>
      </c>
      <c r="B301">
        <v>39</v>
      </c>
      <c r="C301" s="2">
        <v>45575</v>
      </c>
      <c r="D301" t="s">
        <v>172</v>
      </c>
      <c r="E301" t="s">
        <v>178</v>
      </c>
      <c r="F301" t="s">
        <v>183</v>
      </c>
    </row>
    <row r="302" spans="1:6">
      <c r="A302" t="s">
        <v>472</v>
      </c>
      <c r="B302">
        <v>39</v>
      </c>
      <c r="C302" s="2">
        <v>45515</v>
      </c>
      <c r="D302" t="s">
        <v>172</v>
      </c>
      <c r="E302" t="s">
        <v>165</v>
      </c>
      <c r="F302" t="s">
        <v>183</v>
      </c>
    </row>
    <row r="303" spans="1:6">
      <c r="A303" t="s">
        <v>473</v>
      </c>
      <c r="B303">
        <v>39</v>
      </c>
      <c r="C303" s="2">
        <v>45331</v>
      </c>
      <c r="D303" t="s">
        <v>169</v>
      </c>
      <c r="E303" t="s">
        <v>162</v>
      </c>
      <c r="F303" t="s">
        <v>163</v>
      </c>
    </row>
    <row r="304" spans="1:6">
      <c r="A304" t="s">
        <v>474</v>
      </c>
      <c r="B304">
        <v>39</v>
      </c>
      <c r="C304" s="2">
        <v>45438</v>
      </c>
      <c r="D304" t="s">
        <v>174</v>
      </c>
      <c r="E304" t="s">
        <v>178</v>
      </c>
      <c r="F304" t="s">
        <v>163</v>
      </c>
    </row>
    <row r="305" spans="1:6">
      <c r="A305" t="s">
        <v>475</v>
      </c>
      <c r="B305">
        <v>39</v>
      </c>
      <c r="C305" s="2">
        <v>45560</v>
      </c>
      <c r="D305" t="s">
        <v>161</v>
      </c>
      <c r="E305" t="s">
        <v>178</v>
      </c>
      <c r="F305" t="s">
        <v>163</v>
      </c>
    </row>
    <row r="306" spans="1:6">
      <c r="A306" t="s">
        <v>476</v>
      </c>
      <c r="B306">
        <v>39</v>
      </c>
      <c r="C306" s="2">
        <v>45446</v>
      </c>
      <c r="D306" t="s">
        <v>174</v>
      </c>
      <c r="E306" t="s">
        <v>165</v>
      </c>
      <c r="F306" t="s">
        <v>183</v>
      </c>
    </row>
    <row r="307" spans="1:6">
      <c r="A307" t="s">
        <v>477</v>
      </c>
      <c r="B307">
        <v>39</v>
      </c>
      <c r="C307" s="2">
        <v>45605</v>
      </c>
      <c r="D307" t="s">
        <v>189</v>
      </c>
      <c r="E307" t="s">
        <v>165</v>
      </c>
      <c r="F307" t="s">
        <v>183</v>
      </c>
    </row>
    <row r="308" spans="1:6">
      <c r="A308" t="s">
        <v>478</v>
      </c>
      <c r="B308">
        <v>40</v>
      </c>
      <c r="C308" s="2">
        <v>45654</v>
      </c>
      <c r="D308" t="s">
        <v>172</v>
      </c>
      <c r="E308" t="s">
        <v>167</v>
      </c>
      <c r="F308" t="s">
        <v>170</v>
      </c>
    </row>
    <row r="309" spans="1:6">
      <c r="A309" t="s">
        <v>479</v>
      </c>
      <c r="B309">
        <v>41</v>
      </c>
      <c r="C309" s="2">
        <v>45549</v>
      </c>
      <c r="D309" t="s">
        <v>172</v>
      </c>
      <c r="E309" t="s">
        <v>178</v>
      </c>
      <c r="F309" t="s">
        <v>163</v>
      </c>
    </row>
    <row r="310" spans="1:6">
      <c r="A310" t="s">
        <v>480</v>
      </c>
      <c r="B310">
        <v>41</v>
      </c>
      <c r="C310" s="2">
        <v>45515</v>
      </c>
      <c r="D310" t="s">
        <v>172</v>
      </c>
      <c r="E310" t="s">
        <v>167</v>
      </c>
      <c r="F310" t="s">
        <v>163</v>
      </c>
    </row>
    <row r="311" spans="1:6">
      <c r="A311" t="s">
        <v>481</v>
      </c>
      <c r="B311">
        <v>41</v>
      </c>
      <c r="C311" s="2">
        <v>45651</v>
      </c>
      <c r="D311" t="s">
        <v>169</v>
      </c>
      <c r="E311" t="s">
        <v>162</v>
      </c>
      <c r="F311" t="s">
        <v>163</v>
      </c>
    </row>
    <row r="312" spans="1:6">
      <c r="A312" t="s">
        <v>482</v>
      </c>
      <c r="B312">
        <v>41</v>
      </c>
      <c r="C312" s="2">
        <v>45454</v>
      </c>
      <c r="D312" t="s">
        <v>161</v>
      </c>
      <c r="E312" t="s">
        <v>167</v>
      </c>
      <c r="F312" t="s">
        <v>163</v>
      </c>
    </row>
    <row r="313" spans="1:6">
      <c r="A313" t="s">
        <v>483</v>
      </c>
      <c r="B313">
        <v>41</v>
      </c>
      <c r="C313" s="2">
        <v>45515</v>
      </c>
      <c r="D313" t="s">
        <v>169</v>
      </c>
      <c r="E313" t="s">
        <v>165</v>
      </c>
      <c r="F313" t="s">
        <v>163</v>
      </c>
    </row>
    <row r="314" spans="1:6">
      <c r="A314" t="s">
        <v>484</v>
      </c>
      <c r="B314">
        <v>41</v>
      </c>
      <c r="C314" s="2">
        <v>45569</v>
      </c>
      <c r="D314" t="s">
        <v>174</v>
      </c>
      <c r="E314" t="s">
        <v>162</v>
      </c>
      <c r="F314" t="s">
        <v>163</v>
      </c>
    </row>
    <row r="315" spans="1:6">
      <c r="A315" t="s">
        <v>485</v>
      </c>
      <c r="B315">
        <v>42</v>
      </c>
      <c r="C315" s="2">
        <v>45510</v>
      </c>
      <c r="D315" t="s">
        <v>189</v>
      </c>
      <c r="E315" t="s">
        <v>162</v>
      </c>
      <c r="F315" t="s">
        <v>163</v>
      </c>
    </row>
    <row r="316" spans="1:6">
      <c r="A316" t="s">
        <v>486</v>
      </c>
      <c r="B316">
        <v>43</v>
      </c>
      <c r="C316" s="2">
        <v>45484</v>
      </c>
      <c r="D316" t="s">
        <v>169</v>
      </c>
      <c r="E316" t="s">
        <v>162</v>
      </c>
      <c r="F316" t="s">
        <v>163</v>
      </c>
    </row>
    <row r="317" spans="1:6">
      <c r="A317" t="s">
        <v>487</v>
      </c>
      <c r="B317">
        <v>43</v>
      </c>
      <c r="C317" s="2">
        <v>45561</v>
      </c>
      <c r="D317" t="s">
        <v>172</v>
      </c>
      <c r="E317" t="s">
        <v>162</v>
      </c>
      <c r="F317" t="s">
        <v>183</v>
      </c>
    </row>
    <row r="318" spans="1:6">
      <c r="A318" t="s">
        <v>488</v>
      </c>
      <c r="B318">
        <v>43</v>
      </c>
      <c r="C318" s="2">
        <v>45298</v>
      </c>
      <c r="D318" t="s">
        <v>172</v>
      </c>
      <c r="E318" t="s">
        <v>165</v>
      </c>
      <c r="F318" t="s">
        <v>183</v>
      </c>
    </row>
    <row r="319" spans="1:6">
      <c r="A319" t="s">
        <v>489</v>
      </c>
      <c r="B319">
        <v>43</v>
      </c>
      <c r="C319" s="2">
        <v>45370</v>
      </c>
      <c r="D319" t="s">
        <v>161</v>
      </c>
      <c r="E319" t="s">
        <v>165</v>
      </c>
      <c r="F319" t="s">
        <v>163</v>
      </c>
    </row>
    <row r="320" spans="1:6">
      <c r="A320" t="s">
        <v>490</v>
      </c>
      <c r="B320">
        <v>43</v>
      </c>
      <c r="C320" s="2">
        <v>45517</v>
      </c>
      <c r="D320" t="s">
        <v>172</v>
      </c>
      <c r="E320" t="s">
        <v>162</v>
      </c>
      <c r="F320" t="s">
        <v>163</v>
      </c>
    </row>
    <row r="321" spans="1:6">
      <c r="A321" t="s">
        <v>491</v>
      </c>
      <c r="B321">
        <v>43</v>
      </c>
      <c r="C321" s="2">
        <v>45330</v>
      </c>
      <c r="D321" t="s">
        <v>172</v>
      </c>
      <c r="E321" t="s">
        <v>178</v>
      </c>
      <c r="F321" t="s">
        <v>163</v>
      </c>
    </row>
    <row r="322" spans="1:6">
      <c r="A322" t="s">
        <v>492</v>
      </c>
      <c r="B322">
        <v>43</v>
      </c>
      <c r="C322" s="2">
        <v>45421</v>
      </c>
      <c r="D322" t="s">
        <v>174</v>
      </c>
      <c r="E322" t="s">
        <v>167</v>
      </c>
      <c r="F322" t="s">
        <v>163</v>
      </c>
    </row>
    <row r="323" spans="1:6">
      <c r="A323" t="s">
        <v>493</v>
      </c>
      <c r="B323">
        <v>43</v>
      </c>
      <c r="C323" s="2">
        <v>45628</v>
      </c>
      <c r="D323" t="s">
        <v>174</v>
      </c>
      <c r="E323" t="s">
        <v>162</v>
      </c>
      <c r="F323" t="s">
        <v>163</v>
      </c>
    </row>
    <row r="324" spans="1:6">
      <c r="A324" t="s">
        <v>494</v>
      </c>
      <c r="B324">
        <v>43</v>
      </c>
      <c r="C324" s="2">
        <v>45594</v>
      </c>
      <c r="D324" t="s">
        <v>172</v>
      </c>
      <c r="E324" t="s">
        <v>165</v>
      </c>
      <c r="F324" t="s">
        <v>170</v>
      </c>
    </row>
    <row r="325" spans="1:6">
      <c r="A325" t="s">
        <v>495</v>
      </c>
      <c r="B325">
        <v>43</v>
      </c>
      <c r="C325" s="2">
        <v>45548</v>
      </c>
      <c r="D325" t="s">
        <v>169</v>
      </c>
      <c r="E325" t="s">
        <v>162</v>
      </c>
      <c r="F325" t="s">
        <v>183</v>
      </c>
    </row>
    <row r="326" spans="1:6">
      <c r="A326" t="s">
        <v>496</v>
      </c>
      <c r="B326">
        <v>43</v>
      </c>
      <c r="C326" s="2">
        <v>45454</v>
      </c>
      <c r="D326" t="s">
        <v>189</v>
      </c>
      <c r="E326" t="s">
        <v>178</v>
      </c>
      <c r="F326" t="s">
        <v>183</v>
      </c>
    </row>
    <row r="327" spans="1:6">
      <c r="A327" t="s">
        <v>497</v>
      </c>
      <c r="B327">
        <v>43</v>
      </c>
      <c r="C327" s="2">
        <v>45562</v>
      </c>
      <c r="D327" t="s">
        <v>174</v>
      </c>
      <c r="E327" t="s">
        <v>162</v>
      </c>
      <c r="F327" t="s">
        <v>163</v>
      </c>
    </row>
    <row r="328" spans="1:6">
      <c r="A328" t="s">
        <v>498</v>
      </c>
      <c r="B328">
        <v>43</v>
      </c>
      <c r="C328" s="2">
        <v>45436</v>
      </c>
      <c r="D328" t="s">
        <v>172</v>
      </c>
      <c r="E328" t="s">
        <v>178</v>
      </c>
      <c r="F328" t="s">
        <v>163</v>
      </c>
    </row>
    <row r="329" spans="1:6">
      <c r="A329" t="s">
        <v>499</v>
      </c>
      <c r="B329">
        <v>43</v>
      </c>
      <c r="C329" s="2">
        <v>45465</v>
      </c>
      <c r="D329" t="s">
        <v>169</v>
      </c>
      <c r="E329" t="s">
        <v>162</v>
      </c>
      <c r="F329" t="s">
        <v>163</v>
      </c>
    </row>
    <row r="330" spans="1:6">
      <c r="A330" t="s">
        <v>500</v>
      </c>
      <c r="B330">
        <v>44</v>
      </c>
      <c r="C330" s="2">
        <v>45472</v>
      </c>
      <c r="D330" t="s">
        <v>174</v>
      </c>
      <c r="E330" t="s">
        <v>167</v>
      </c>
      <c r="F330" t="s">
        <v>163</v>
      </c>
    </row>
    <row r="331" spans="1:6">
      <c r="A331" t="s">
        <v>501</v>
      </c>
      <c r="B331">
        <v>44</v>
      </c>
      <c r="C331" s="2">
        <v>45444</v>
      </c>
      <c r="D331" t="s">
        <v>189</v>
      </c>
      <c r="E331" t="s">
        <v>167</v>
      </c>
      <c r="F331" t="s">
        <v>163</v>
      </c>
    </row>
    <row r="332" spans="1:6">
      <c r="A332" t="s">
        <v>502</v>
      </c>
      <c r="B332">
        <v>44</v>
      </c>
      <c r="C332" s="2">
        <v>45300</v>
      </c>
      <c r="D332" t="s">
        <v>189</v>
      </c>
      <c r="E332" t="s">
        <v>162</v>
      </c>
      <c r="F332" t="s">
        <v>163</v>
      </c>
    </row>
    <row r="333" spans="1:6">
      <c r="A333" t="s">
        <v>503</v>
      </c>
      <c r="B333">
        <v>44</v>
      </c>
      <c r="C333" s="2">
        <v>45408</v>
      </c>
      <c r="D333" t="s">
        <v>169</v>
      </c>
      <c r="E333" t="s">
        <v>162</v>
      </c>
      <c r="F333" t="s">
        <v>163</v>
      </c>
    </row>
    <row r="334" spans="1:6">
      <c r="A334" t="s">
        <v>504</v>
      </c>
      <c r="B334">
        <v>45</v>
      </c>
      <c r="C334" s="2">
        <v>45363</v>
      </c>
      <c r="D334" t="s">
        <v>172</v>
      </c>
      <c r="E334" t="s">
        <v>167</v>
      </c>
      <c r="F334" t="s">
        <v>163</v>
      </c>
    </row>
    <row r="335" spans="1:6">
      <c r="A335" t="s">
        <v>505</v>
      </c>
      <c r="B335">
        <v>45</v>
      </c>
      <c r="C335" s="2">
        <v>45386</v>
      </c>
      <c r="D335" t="s">
        <v>161</v>
      </c>
      <c r="E335" t="s">
        <v>178</v>
      </c>
      <c r="F335" t="s">
        <v>183</v>
      </c>
    </row>
    <row r="336" spans="1:6">
      <c r="A336" t="s">
        <v>506</v>
      </c>
      <c r="B336">
        <v>45</v>
      </c>
      <c r="C336" s="2">
        <v>45393</v>
      </c>
      <c r="D336" t="s">
        <v>189</v>
      </c>
      <c r="E336" t="s">
        <v>162</v>
      </c>
      <c r="F336" t="s">
        <v>183</v>
      </c>
    </row>
    <row r="337" spans="1:6">
      <c r="A337" t="s">
        <v>507</v>
      </c>
      <c r="B337">
        <v>45</v>
      </c>
      <c r="C337" s="2">
        <v>45379</v>
      </c>
      <c r="D337" t="s">
        <v>189</v>
      </c>
      <c r="E337" t="s">
        <v>178</v>
      </c>
      <c r="F337" t="s">
        <v>163</v>
      </c>
    </row>
    <row r="338" spans="1:6">
      <c r="A338" t="s">
        <v>508</v>
      </c>
      <c r="B338">
        <v>45</v>
      </c>
      <c r="C338" s="2">
        <v>45451</v>
      </c>
      <c r="D338" t="s">
        <v>174</v>
      </c>
      <c r="E338" t="s">
        <v>162</v>
      </c>
      <c r="F338" t="s">
        <v>163</v>
      </c>
    </row>
    <row r="339" spans="1:6">
      <c r="A339" t="s">
        <v>509</v>
      </c>
      <c r="B339">
        <v>45</v>
      </c>
      <c r="C339" s="2">
        <v>45533</v>
      </c>
      <c r="D339" t="s">
        <v>174</v>
      </c>
      <c r="E339" t="s">
        <v>178</v>
      </c>
      <c r="F339" t="s">
        <v>163</v>
      </c>
    </row>
    <row r="340" spans="1:6">
      <c r="A340" t="s">
        <v>510</v>
      </c>
      <c r="B340">
        <v>45</v>
      </c>
      <c r="C340" s="2">
        <v>45524</v>
      </c>
      <c r="D340" t="s">
        <v>172</v>
      </c>
      <c r="E340" t="s">
        <v>167</v>
      </c>
      <c r="F340" t="s">
        <v>163</v>
      </c>
    </row>
    <row r="341" spans="1:6">
      <c r="A341" t="s">
        <v>511</v>
      </c>
      <c r="B341">
        <v>45</v>
      </c>
      <c r="C341" s="2">
        <v>45394</v>
      </c>
      <c r="D341" t="s">
        <v>169</v>
      </c>
      <c r="E341" t="s">
        <v>167</v>
      </c>
      <c r="F341" t="s">
        <v>163</v>
      </c>
    </row>
    <row r="342" spans="1:6">
      <c r="A342" t="s">
        <v>512</v>
      </c>
      <c r="B342">
        <v>45</v>
      </c>
      <c r="C342" s="2">
        <v>45413</v>
      </c>
      <c r="D342" t="s">
        <v>169</v>
      </c>
      <c r="E342" t="s">
        <v>165</v>
      </c>
      <c r="F342" t="s">
        <v>163</v>
      </c>
    </row>
    <row r="343" spans="1:6">
      <c r="A343" t="s">
        <v>513</v>
      </c>
      <c r="B343">
        <v>45</v>
      </c>
      <c r="C343" s="2">
        <v>45596</v>
      </c>
      <c r="D343" t="s">
        <v>161</v>
      </c>
      <c r="E343" t="s">
        <v>178</v>
      </c>
      <c r="F343" t="s">
        <v>183</v>
      </c>
    </row>
    <row r="344" spans="1:6">
      <c r="A344" t="s">
        <v>514</v>
      </c>
      <c r="B344">
        <v>45</v>
      </c>
      <c r="C344" s="2">
        <v>45300</v>
      </c>
      <c r="D344" t="s">
        <v>189</v>
      </c>
      <c r="E344" t="s">
        <v>165</v>
      </c>
      <c r="F344" t="s">
        <v>163</v>
      </c>
    </row>
    <row r="345" spans="1:6">
      <c r="A345" t="s">
        <v>515</v>
      </c>
      <c r="B345">
        <v>45</v>
      </c>
      <c r="C345" s="2">
        <v>45495</v>
      </c>
      <c r="D345" t="s">
        <v>169</v>
      </c>
      <c r="E345" t="s">
        <v>162</v>
      </c>
      <c r="F345" t="s">
        <v>183</v>
      </c>
    </row>
    <row r="346" spans="1:6">
      <c r="A346" t="s">
        <v>516</v>
      </c>
      <c r="B346">
        <v>45</v>
      </c>
      <c r="C346" s="2">
        <v>45402</v>
      </c>
      <c r="D346" t="s">
        <v>161</v>
      </c>
      <c r="E346" t="s">
        <v>165</v>
      </c>
      <c r="F346" t="s">
        <v>163</v>
      </c>
    </row>
    <row r="347" spans="1:6">
      <c r="A347" t="s">
        <v>517</v>
      </c>
      <c r="B347">
        <v>45</v>
      </c>
      <c r="C347" s="2">
        <v>45499</v>
      </c>
      <c r="D347" t="s">
        <v>174</v>
      </c>
      <c r="E347" t="s">
        <v>167</v>
      </c>
      <c r="F347" t="s">
        <v>183</v>
      </c>
    </row>
    <row r="348" spans="1:6">
      <c r="A348" t="s">
        <v>518</v>
      </c>
      <c r="B348">
        <v>45</v>
      </c>
      <c r="C348" s="2">
        <v>45294</v>
      </c>
      <c r="D348" t="s">
        <v>189</v>
      </c>
      <c r="E348" t="s">
        <v>162</v>
      </c>
      <c r="F348" t="s">
        <v>183</v>
      </c>
    </row>
    <row r="349" spans="1:6">
      <c r="A349" t="s">
        <v>519</v>
      </c>
      <c r="B349">
        <v>45</v>
      </c>
      <c r="C349" s="2">
        <v>45303</v>
      </c>
      <c r="D349" t="s">
        <v>174</v>
      </c>
      <c r="E349" t="s">
        <v>178</v>
      </c>
      <c r="F349" t="s">
        <v>163</v>
      </c>
    </row>
    <row r="350" spans="1:6">
      <c r="A350" t="s">
        <v>520</v>
      </c>
      <c r="B350">
        <v>45</v>
      </c>
      <c r="C350" s="2">
        <v>45413</v>
      </c>
      <c r="D350" t="s">
        <v>161</v>
      </c>
      <c r="E350" t="s">
        <v>165</v>
      </c>
      <c r="F350" t="s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6"/>
  <sheetViews>
    <sheetView topLeftCell="AI1" workbookViewId="0">
      <selection activeCell="AS1" sqref="AO1:AS1"/>
    </sheetView>
  </sheetViews>
  <sheetFormatPr defaultRowHeight="15"/>
  <cols>
    <col min="1" max="1" width="10" bestFit="1" customWidth="1"/>
    <col min="2" max="2" width="15.140625" bestFit="1" customWidth="1"/>
    <col min="3" max="3" width="11.42578125" bestFit="1" customWidth="1"/>
    <col min="4" max="4" width="7" bestFit="1" customWidth="1"/>
    <col min="5" max="5" width="14.140625" bestFit="1" customWidth="1"/>
    <col min="6" max="6" width="18.7109375" bestFit="1" customWidth="1"/>
    <col min="7" max="7" width="13.5703125" bestFit="1" customWidth="1"/>
    <col min="8" max="8" width="22.85546875" bestFit="1" customWidth="1"/>
    <col min="9" max="9" width="16.85546875" bestFit="1" customWidth="1"/>
    <col min="10" max="10" width="22.28515625" bestFit="1" customWidth="1"/>
    <col min="11" max="11" width="14.42578125" bestFit="1" customWidth="1"/>
    <col min="12" max="12" width="14.85546875" bestFit="1" customWidth="1"/>
    <col min="13" max="13" width="17.85546875" bestFit="1" customWidth="1"/>
    <col min="14" max="14" width="23.42578125" bestFit="1" customWidth="1"/>
    <col min="15" max="15" width="25.7109375" bestFit="1" customWidth="1"/>
    <col min="16" max="16" width="16.28515625" bestFit="1" customWidth="1"/>
    <col min="17" max="17" width="20.42578125" bestFit="1" customWidth="1"/>
    <col min="18" max="18" width="25.140625" bestFit="1" customWidth="1"/>
    <col min="19" max="19" width="22.7109375" bestFit="1" customWidth="1"/>
    <col min="20" max="20" width="14.28515625" bestFit="1" customWidth="1"/>
    <col min="21" max="21" width="20.5703125" bestFit="1" customWidth="1"/>
    <col min="22" max="22" width="20" bestFit="1" customWidth="1"/>
    <col min="23" max="23" width="21.42578125" bestFit="1" customWidth="1"/>
    <col min="24" max="24" width="20.5703125" bestFit="1" customWidth="1"/>
    <col min="25" max="25" width="15.140625" bestFit="1" customWidth="1"/>
    <col min="26" max="26" width="21.85546875" bestFit="1" customWidth="1"/>
    <col min="27" max="27" width="19" bestFit="1" customWidth="1"/>
    <col min="28" max="28" width="20.85546875" bestFit="1" customWidth="1"/>
    <col min="29" max="29" width="27.28515625" bestFit="1" customWidth="1"/>
    <col min="30" max="30" width="15.7109375" bestFit="1" customWidth="1"/>
    <col min="31" max="31" width="20.5703125" bestFit="1" customWidth="1"/>
    <col min="32" max="32" width="22.28515625" bestFit="1" customWidth="1"/>
    <col min="33" max="33" width="24.5703125" bestFit="1" customWidth="1"/>
    <col min="34" max="34" width="22.7109375" bestFit="1" customWidth="1"/>
    <col min="35" max="35" width="25" bestFit="1" customWidth="1"/>
    <col min="36" max="36" width="17.85546875" bestFit="1" customWidth="1"/>
    <col min="37" max="37" width="19" bestFit="1" customWidth="1"/>
    <col min="38" max="38" width="22.5703125" bestFit="1" customWidth="1"/>
    <col min="39" max="39" width="17.7109375" bestFit="1" customWidth="1"/>
    <col min="40" max="40" width="19.85546875" bestFit="1" customWidth="1"/>
    <col min="41" max="41" width="21.7109375" bestFit="1" customWidth="1"/>
    <col min="42" max="42" width="26.7109375" bestFit="1" customWidth="1"/>
    <col min="43" max="43" width="24.42578125" bestFit="1" customWidth="1"/>
    <col min="44" max="44" width="21.42578125" bestFit="1" customWidth="1"/>
    <col min="45" max="45" width="22.140625" bestFit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1</v>
      </c>
      <c r="B2" t="s">
        <v>45</v>
      </c>
      <c r="C2" t="s">
        <v>46</v>
      </c>
      <c r="D2" t="s">
        <v>47</v>
      </c>
      <c r="E2" t="s">
        <v>48</v>
      </c>
      <c r="F2">
        <v>3</v>
      </c>
      <c r="G2">
        <v>5</v>
      </c>
      <c r="H2">
        <v>5</v>
      </c>
      <c r="I2">
        <v>4</v>
      </c>
      <c r="J2">
        <v>3</v>
      </c>
      <c r="K2">
        <v>4</v>
      </c>
      <c r="L2">
        <v>5</v>
      </c>
      <c r="M2">
        <v>3</v>
      </c>
      <c r="N2">
        <v>3</v>
      </c>
      <c r="O2">
        <v>3</v>
      </c>
      <c r="P2">
        <v>4</v>
      </c>
      <c r="Q2">
        <v>3</v>
      </c>
      <c r="R2">
        <v>3</v>
      </c>
      <c r="S2">
        <v>5</v>
      </c>
      <c r="T2">
        <v>5</v>
      </c>
      <c r="U2">
        <v>4</v>
      </c>
      <c r="V2">
        <v>4</v>
      </c>
      <c r="W2">
        <v>4</v>
      </c>
      <c r="X2">
        <v>4</v>
      </c>
      <c r="Y2">
        <v>5</v>
      </c>
      <c r="Z2">
        <v>5</v>
      </c>
      <c r="AA2">
        <v>4</v>
      </c>
      <c r="AB2">
        <v>4</v>
      </c>
      <c r="AC2">
        <v>4</v>
      </c>
      <c r="AD2">
        <v>5</v>
      </c>
      <c r="AE2">
        <v>5</v>
      </c>
      <c r="AF2">
        <v>3</v>
      </c>
      <c r="AG2">
        <v>3</v>
      </c>
      <c r="AH2">
        <v>3</v>
      </c>
      <c r="AI2">
        <v>3</v>
      </c>
      <c r="AJ2">
        <v>3</v>
      </c>
      <c r="AK2">
        <v>4</v>
      </c>
      <c r="AL2">
        <v>4</v>
      </c>
      <c r="AM2">
        <v>4</v>
      </c>
      <c r="AN2">
        <v>4</v>
      </c>
      <c r="AO2">
        <v>3</v>
      </c>
      <c r="AP2">
        <v>3</v>
      </c>
      <c r="AQ2">
        <v>5</v>
      </c>
      <c r="AR2">
        <v>4</v>
      </c>
      <c r="AS2">
        <v>4</v>
      </c>
    </row>
    <row r="3" spans="1:45">
      <c r="A3">
        <v>2</v>
      </c>
      <c r="B3" t="s">
        <v>49</v>
      </c>
      <c r="C3" t="s">
        <v>50</v>
      </c>
      <c r="D3" t="s">
        <v>47</v>
      </c>
      <c r="E3" t="s">
        <v>51</v>
      </c>
      <c r="F3">
        <v>4</v>
      </c>
      <c r="G3">
        <v>3</v>
      </c>
      <c r="H3">
        <v>4</v>
      </c>
      <c r="I3">
        <v>5</v>
      </c>
      <c r="J3">
        <v>5</v>
      </c>
      <c r="K3">
        <v>3</v>
      </c>
      <c r="L3">
        <v>4</v>
      </c>
      <c r="M3">
        <v>5</v>
      </c>
      <c r="N3">
        <v>3</v>
      </c>
      <c r="O3">
        <v>5</v>
      </c>
      <c r="P3">
        <v>5</v>
      </c>
      <c r="Q3">
        <v>4</v>
      </c>
      <c r="R3">
        <v>5</v>
      </c>
      <c r="S3">
        <v>3</v>
      </c>
      <c r="T3">
        <v>4</v>
      </c>
      <c r="U3">
        <v>5</v>
      </c>
      <c r="V3">
        <v>5</v>
      </c>
      <c r="W3">
        <v>5</v>
      </c>
      <c r="X3">
        <v>3</v>
      </c>
      <c r="Y3">
        <v>5</v>
      </c>
      <c r="Z3">
        <v>3</v>
      </c>
      <c r="AA3">
        <v>5</v>
      </c>
      <c r="AB3">
        <v>5</v>
      </c>
      <c r="AC3">
        <v>4</v>
      </c>
      <c r="AD3">
        <v>5</v>
      </c>
      <c r="AE3">
        <v>3</v>
      </c>
      <c r="AF3">
        <v>5</v>
      </c>
      <c r="AG3">
        <v>5</v>
      </c>
      <c r="AH3">
        <v>3</v>
      </c>
      <c r="AI3">
        <v>5</v>
      </c>
      <c r="AJ3">
        <v>3</v>
      </c>
      <c r="AK3">
        <v>5</v>
      </c>
      <c r="AL3">
        <v>3</v>
      </c>
      <c r="AM3">
        <v>3</v>
      </c>
      <c r="AN3">
        <v>4</v>
      </c>
      <c r="AO3">
        <v>5</v>
      </c>
      <c r="AP3">
        <v>3</v>
      </c>
      <c r="AQ3">
        <v>3</v>
      </c>
      <c r="AR3">
        <v>4</v>
      </c>
      <c r="AS3">
        <v>3</v>
      </c>
    </row>
    <row r="4" spans="1:45">
      <c r="A4">
        <v>3</v>
      </c>
      <c r="B4" t="s">
        <v>52</v>
      </c>
      <c r="C4" t="s">
        <v>53</v>
      </c>
      <c r="D4" t="s">
        <v>54</v>
      </c>
      <c r="E4" t="s">
        <v>55</v>
      </c>
      <c r="F4">
        <v>1</v>
      </c>
      <c r="G4">
        <v>1</v>
      </c>
      <c r="H4">
        <v>3</v>
      </c>
      <c r="I4">
        <v>3</v>
      </c>
      <c r="J4">
        <v>3</v>
      </c>
      <c r="K4">
        <v>2</v>
      </c>
      <c r="L4">
        <v>1</v>
      </c>
      <c r="M4">
        <v>3</v>
      </c>
      <c r="N4">
        <v>1</v>
      </c>
      <c r="O4">
        <v>3</v>
      </c>
      <c r="P4">
        <v>3</v>
      </c>
      <c r="Q4">
        <v>3</v>
      </c>
      <c r="R4">
        <v>1</v>
      </c>
      <c r="S4">
        <v>3</v>
      </c>
      <c r="T4">
        <v>3</v>
      </c>
      <c r="U4">
        <v>2</v>
      </c>
      <c r="V4">
        <v>2</v>
      </c>
      <c r="W4">
        <v>2</v>
      </c>
      <c r="X4">
        <v>2</v>
      </c>
      <c r="Y4">
        <v>1</v>
      </c>
      <c r="Z4">
        <v>2</v>
      </c>
      <c r="AA4">
        <v>2</v>
      </c>
      <c r="AB4">
        <v>3</v>
      </c>
      <c r="AC4">
        <v>1</v>
      </c>
      <c r="AD4">
        <v>1</v>
      </c>
      <c r="AE4">
        <v>3</v>
      </c>
      <c r="AF4">
        <v>3</v>
      </c>
      <c r="AG4">
        <v>3</v>
      </c>
      <c r="AH4">
        <v>1</v>
      </c>
      <c r="AI4">
        <v>1</v>
      </c>
      <c r="AJ4">
        <v>2</v>
      </c>
      <c r="AK4">
        <v>1</v>
      </c>
      <c r="AL4">
        <v>1</v>
      </c>
      <c r="AM4">
        <v>3</v>
      </c>
      <c r="AN4">
        <v>1</v>
      </c>
      <c r="AO4">
        <v>2</v>
      </c>
      <c r="AP4">
        <v>1</v>
      </c>
      <c r="AQ4">
        <v>3</v>
      </c>
      <c r="AR4">
        <v>3</v>
      </c>
      <c r="AS4">
        <v>1</v>
      </c>
    </row>
    <row r="5" spans="1:45">
      <c r="A5">
        <v>4</v>
      </c>
      <c r="B5" t="s">
        <v>56</v>
      </c>
      <c r="C5" t="s">
        <v>57</v>
      </c>
      <c r="D5" t="s">
        <v>47</v>
      </c>
      <c r="E5" t="s">
        <v>58</v>
      </c>
      <c r="F5">
        <v>3</v>
      </c>
      <c r="G5">
        <v>5</v>
      </c>
      <c r="H5">
        <v>5</v>
      </c>
      <c r="I5">
        <v>3</v>
      </c>
      <c r="J5">
        <v>3</v>
      </c>
      <c r="K5">
        <v>3</v>
      </c>
      <c r="L5">
        <v>3</v>
      </c>
      <c r="M5">
        <v>3</v>
      </c>
      <c r="N5">
        <v>5</v>
      </c>
      <c r="O5">
        <v>4</v>
      </c>
      <c r="P5">
        <v>3</v>
      </c>
      <c r="Q5">
        <v>3</v>
      </c>
      <c r="R5">
        <v>3</v>
      </c>
      <c r="S5">
        <v>4</v>
      </c>
      <c r="T5">
        <v>3</v>
      </c>
      <c r="U5">
        <v>5</v>
      </c>
      <c r="V5">
        <v>4</v>
      </c>
      <c r="W5">
        <v>5</v>
      </c>
      <c r="X5">
        <v>3</v>
      </c>
      <c r="Y5">
        <v>5</v>
      </c>
      <c r="Z5">
        <v>5</v>
      </c>
      <c r="AA5">
        <v>4</v>
      </c>
      <c r="AB5">
        <v>3</v>
      </c>
      <c r="AC5">
        <v>3</v>
      </c>
      <c r="AD5">
        <v>3</v>
      </c>
      <c r="AE5">
        <v>5</v>
      </c>
      <c r="AF5">
        <v>4</v>
      </c>
      <c r="AG5">
        <v>5</v>
      </c>
      <c r="AH5">
        <v>5</v>
      </c>
      <c r="AI5">
        <v>3</v>
      </c>
      <c r="AJ5">
        <v>4</v>
      </c>
      <c r="AK5">
        <v>3</v>
      </c>
      <c r="AL5">
        <v>4</v>
      </c>
      <c r="AM5">
        <v>4</v>
      </c>
      <c r="AN5">
        <v>3</v>
      </c>
      <c r="AO5">
        <v>4</v>
      </c>
      <c r="AP5">
        <v>4</v>
      </c>
      <c r="AQ5">
        <v>5</v>
      </c>
      <c r="AR5">
        <v>3</v>
      </c>
      <c r="AS5">
        <v>3</v>
      </c>
    </row>
    <row r="6" spans="1:45">
      <c r="A6">
        <v>5</v>
      </c>
      <c r="B6" t="s">
        <v>59</v>
      </c>
      <c r="C6" t="s">
        <v>60</v>
      </c>
      <c r="D6" t="s">
        <v>47</v>
      </c>
      <c r="E6" t="s">
        <v>61</v>
      </c>
      <c r="F6">
        <v>4</v>
      </c>
      <c r="G6">
        <v>3</v>
      </c>
      <c r="H6">
        <v>4</v>
      </c>
      <c r="I6">
        <v>4</v>
      </c>
      <c r="J6">
        <v>4</v>
      </c>
      <c r="K6">
        <v>3</v>
      </c>
      <c r="L6">
        <v>3</v>
      </c>
      <c r="M6">
        <v>4</v>
      </c>
      <c r="N6">
        <v>5</v>
      </c>
      <c r="O6">
        <v>4</v>
      </c>
      <c r="P6">
        <v>4</v>
      </c>
      <c r="Q6">
        <v>3</v>
      </c>
      <c r="R6">
        <v>3</v>
      </c>
      <c r="S6">
        <v>3</v>
      </c>
      <c r="T6">
        <v>5</v>
      </c>
      <c r="U6">
        <v>5</v>
      </c>
      <c r="V6">
        <v>4</v>
      </c>
      <c r="W6">
        <v>5</v>
      </c>
      <c r="X6">
        <v>4</v>
      </c>
      <c r="Y6">
        <v>4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  <c r="AG6">
        <v>4</v>
      </c>
      <c r="AH6">
        <v>3</v>
      </c>
      <c r="AI6">
        <v>3</v>
      </c>
      <c r="AJ6">
        <v>3</v>
      </c>
      <c r="AK6">
        <v>3</v>
      </c>
      <c r="AL6">
        <v>3</v>
      </c>
      <c r="AM6">
        <v>5</v>
      </c>
      <c r="AN6">
        <v>3</v>
      </c>
      <c r="AO6">
        <v>4</v>
      </c>
      <c r="AP6">
        <v>4</v>
      </c>
      <c r="AQ6">
        <v>4</v>
      </c>
      <c r="AR6">
        <v>5</v>
      </c>
      <c r="AS6">
        <v>3</v>
      </c>
    </row>
    <row r="7" spans="1:45">
      <c r="A7">
        <v>6</v>
      </c>
      <c r="B7" t="s">
        <v>62</v>
      </c>
      <c r="C7" t="s">
        <v>46</v>
      </c>
      <c r="D7" t="s">
        <v>54</v>
      </c>
      <c r="E7" t="s">
        <v>63</v>
      </c>
      <c r="F7">
        <v>2</v>
      </c>
      <c r="G7">
        <v>1</v>
      </c>
      <c r="H7">
        <v>1</v>
      </c>
      <c r="I7">
        <v>2</v>
      </c>
      <c r="J7">
        <v>1</v>
      </c>
      <c r="K7">
        <v>1</v>
      </c>
      <c r="L7">
        <v>2</v>
      </c>
      <c r="M7">
        <v>3</v>
      </c>
      <c r="N7">
        <v>2</v>
      </c>
      <c r="O7">
        <v>1</v>
      </c>
      <c r="P7">
        <v>3</v>
      </c>
      <c r="Q7">
        <v>3</v>
      </c>
      <c r="R7">
        <v>3</v>
      </c>
      <c r="S7">
        <v>3</v>
      </c>
      <c r="T7">
        <v>3</v>
      </c>
      <c r="U7">
        <v>1</v>
      </c>
      <c r="V7">
        <v>3</v>
      </c>
      <c r="W7">
        <v>2</v>
      </c>
      <c r="X7">
        <v>1</v>
      </c>
      <c r="Y7">
        <v>2</v>
      </c>
      <c r="Z7">
        <v>2</v>
      </c>
      <c r="AA7">
        <v>2</v>
      </c>
      <c r="AB7">
        <v>2</v>
      </c>
      <c r="AC7">
        <v>1</v>
      </c>
      <c r="AD7">
        <v>2</v>
      </c>
      <c r="AE7">
        <v>2</v>
      </c>
      <c r="AF7">
        <v>2</v>
      </c>
      <c r="AG7">
        <v>2</v>
      </c>
      <c r="AH7">
        <v>2</v>
      </c>
      <c r="AI7">
        <v>1</v>
      </c>
      <c r="AJ7">
        <v>3</v>
      </c>
      <c r="AK7">
        <v>2</v>
      </c>
      <c r="AL7">
        <v>1</v>
      </c>
      <c r="AM7">
        <v>1</v>
      </c>
      <c r="AN7">
        <v>3</v>
      </c>
      <c r="AO7">
        <v>2</v>
      </c>
      <c r="AP7">
        <v>3</v>
      </c>
      <c r="AQ7">
        <v>2</v>
      </c>
      <c r="AR7">
        <v>3</v>
      </c>
      <c r="AS7">
        <v>3</v>
      </c>
    </row>
    <row r="8" spans="1:45">
      <c r="A8">
        <v>7</v>
      </c>
      <c r="B8" t="s">
        <v>64</v>
      </c>
      <c r="C8" t="s">
        <v>50</v>
      </c>
      <c r="D8" t="s">
        <v>47</v>
      </c>
      <c r="E8" t="s">
        <v>65</v>
      </c>
      <c r="F8">
        <v>5</v>
      </c>
      <c r="G8">
        <v>4</v>
      </c>
      <c r="H8">
        <v>3</v>
      </c>
      <c r="I8">
        <v>4</v>
      </c>
      <c r="J8">
        <v>4</v>
      </c>
      <c r="K8">
        <v>4</v>
      </c>
      <c r="L8">
        <v>3</v>
      </c>
      <c r="M8">
        <v>3</v>
      </c>
      <c r="N8">
        <v>5</v>
      </c>
      <c r="O8">
        <v>4</v>
      </c>
      <c r="P8">
        <v>5</v>
      </c>
      <c r="Q8">
        <v>5</v>
      </c>
      <c r="R8">
        <v>3</v>
      </c>
      <c r="S8">
        <v>3</v>
      </c>
      <c r="T8">
        <v>5</v>
      </c>
      <c r="U8">
        <v>4</v>
      </c>
      <c r="V8">
        <v>3</v>
      </c>
      <c r="W8">
        <v>4</v>
      </c>
      <c r="X8">
        <v>5</v>
      </c>
      <c r="Y8">
        <v>5</v>
      </c>
      <c r="Z8">
        <v>5</v>
      </c>
      <c r="AA8">
        <v>3</v>
      </c>
      <c r="AB8">
        <v>5</v>
      </c>
      <c r="AC8">
        <v>3</v>
      </c>
      <c r="AD8">
        <v>4</v>
      </c>
      <c r="AE8">
        <v>4</v>
      </c>
      <c r="AF8">
        <v>3</v>
      </c>
      <c r="AG8">
        <v>5</v>
      </c>
      <c r="AH8">
        <v>4</v>
      </c>
      <c r="AI8">
        <v>4</v>
      </c>
      <c r="AJ8">
        <v>4</v>
      </c>
      <c r="AK8">
        <v>5</v>
      </c>
      <c r="AL8">
        <v>5</v>
      </c>
      <c r="AM8">
        <v>4</v>
      </c>
      <c r="AN8">
        <v>3</v>
      </c>
      <c r="AO8">
        <v>3</v>
      </c>
      <c r="AP8">
        <v>5</v>
      </c>
      <c r="AQ8">
        <v>3</v>
      </c>
      <c r="AR8">
        <v>4</v>
      </c>
      <c r="AS8">
        <v>4</v>
      </c>
    </row>
    <row r="9" spans="1:45">
      <c r="A9">
        <v>8</v>
      </c>
      <c r="B9" t="s">
        <v>66</v>
      </c>
      <c r="C9" t="s">
        <v>53</v>
      </c>
      <c r="D9" t="s">
        <v>47</v>
      </c>
      <c r="E9" t="s">
        <v>67</v>
      </c>
      <c r="F9">
        <v>3</v>
      </c>
      <c r="G9">
        <v>4</v>
      </c>
      <c r="H9">
        <v>4</v>
      </c>
      <c r="I9">
        <v>5</v>
      </c>
      <c r="J9">
        <v>3</v>
      </c>
      <c r="K9">
        <v>4</v>
      </c>
      <c r="L9">
        <v>4</v>
      </c>
      <c r="M9">
        <v>5</v>
      </c>
      <c r="N9">
        <v>4</v>
      </c>
      <c r="O9">
        <v>5</v>
      </c>
      <c r="P9">
        <v>4</v>
      </c>
      <c r="Q9">
        <v>3</v>
      </c>
      <c r="R9">
        <v>3</v>
      </c>
      <c r="S9">
        <v>3</v>
      </c>
      <c r="T9">
        <v>4</v>
      </c>
      <c r="U9">
        <v>3</v>
      </c>
      <c r="V9">
        <v>5</v>
      </c>
      <c r="W9">
        <v>3</v>
      </c>
      <c r="X9">
        <v>3</v>
      </c>
      <c r="Y9">
        <v>4</v>
      </c>
      <c r="Z9">
        <v>5</v>
      </c>
      <c r="AA9">
        <v>3</v>
      </c>
      <c r="AB9">
        <v>5</v>
      </c>
      <c r="AC9">
        <v>4</v>
      </c>
      <c r="AD9">
        <v>3</v>
      </c>
      <c r="AE9">
        <v>3</v>
      </c>
      <c r="AF9">
        <v>4</v>
      </c>
      <c r="AG9">
        <v>3</v>
      </c>
      <c r="AH9">
        <v>5</v>
      </c>
      <c r="AI9">
        <v>5</v>
      </c>
      <c r="AJ9">
        <v>5</v>
      </c>
      <c r="AK9">
        <v>3</v>
      </c>
      <c r="AL9">
        <v>3</v>
      </c>
      <c r="AM9">
        <v>5</v>
      </c>
      <c r="AN9">
        <v>4</v>
      </c>
      <c r="AO9">
        <v>3</v>
      </c>
      <c r="AP9">
        <v>5</v>
      </c>
      <c r="AQ9">
        <v>3</v>
      </c>
      <c r="AR9">
        <v>4</v>
      </c>
      <c r="AS9">
        <v>5</v>
      </c>
    </row>
    <row r="10" spans="1:45">
      <c r="A10">
        <v>9</v>
      </c>
      <c r="B10" t="s">
        <v>68</v>
      </c>
      <c r="C10" t="s">
        <v>57</v>
      </c>
      <c r="D10" t="s">
        <v>47</v>
      </c>
      <c r="E10" t="s">
        <v>69</v>
      </c>
      <c r="F10">
        <v>4</v>
      </c>
      <c r="G10">
        <v>3</v>
      </c>
      <c r="H10">
        <v>5</v>
      </c>
      <c r="I10">
        <v>5</v>
      </c>
      <c r="J10">
        <v>4</v>
      </c>
      <c r="K10">
        <v>4</v>
      </c>
      <c r="L10">
        <v>4</v>
      </c>
      <c r="M10">
        <v>4</v>
      </c>
      <c r="N10">
        <v>3</v>
      </c>
      <c r="O10">
        <v>4</v>
      </c>
      <c r="P10">
        <v>3</v>
      </c>
      <c r="Q10">
        <v>4</v>
      </c>
      <c r="R10">
        <v>4</v>
      </c>
      <c r="S10">
        <v>5</v>
      </c>
      <c r="T10">
        <v>5</v>
      </c>
      <c r="U10">
        <v>4</v>
      </c>
      <c r="V10">
        <v>3</v>
      </c>
      <c r="W10">
        <v>4</v>
      </c>
      <c r="X10">
        <v>4</v>
      </c>
      <c r="Y10">
        <v>4</v>
      </c>
      <c r="Z10">
        <v>4</v>
      </c>
      <c r="AA10">
        <v>4</v>
      </c>
      <c r="AB10">
        <v>3</v>
      </c>
      <c r="AC10">
        <v>4</v>
      </c>
      <c r="AD10">
        <v>5</v>
      </c>
      <c r="AE10">
        <v>4</v>
      </c>
      <c r="AF10">
        <v>3</v>
      </c>
      <c r="AG10">
        <v>5</v>
      </c>
      <c r="AH10">
        <v>3</v>
      </c>
      <c r="AI10">
        <v>5</v>
      </c>
      <c r="AJ10">
        <v>4</v>
      </c>
      <c r="AK10">
        <v>5</v>
      </c>
      <c r="AL10">
        <v>3</v>
      </c>
      <c r="AM10">
        <v>4</v>
      </c>
      <c r="AN10">
        <v>5</v>
      </c>
      <c r="AO10">
        <v>4</v>
      </c>
      <c r="AP10">
        <v>3</v>
      </c>
      <c r="AQ10">
        <v>3</v>
      </c>
      <c r="AR10">
        <v>3</v>
      </c>
      <c r="AS10">
        <v>5</v>
      </c>
    </row>
    <row r="11" spans="1:45">
      <c r="A11">
        <v>10</v>
      </c>
      <c r="B11" t="s">
        <v>70</v>
      </c>
      <c r="C11" t="s">
        <v>60</v>
      </c>
      <c r="D11" t="s">
        <v>54</v>
      </c>
      <c r="E11" t="s">
        <v>71</v>
      </c>
      <c r="F11">
        <v>2</v>
      </c>
      <c r="G11">
        <v>3</v>
      </c>
      <c r="H11">
        <v>1</v>
      </c>
      <c r="I11">
        <v>3</v>
      </c>
      <c r="J11">
        <v>1</v>
      </c>
      <c r="K11">
        <v>1</v>
      </c>
      <c r="L11">
        <v>3</v>
      </c>
      <c r="M11">
        <v>1</v>
      </c>
      <c r="N11">
        <v>3</v>
      </c>
      <c r="O11">
        <v>1</v>
      </c>
      <c r="P11">
        <v>2</v>
      </c>
      <c r="Q11">
        <v>1</v>
      </c>
      <c r="R11">
        <v>3</v>
      </c>
      <c r="S11">
        <v>2</v>
      </c>
      <c r="T11">
        <v>3</v>
      </c>
      <c r="U11">
        <v>1</v>
      </c>
      <c r="V11">
        <v>2</v>
      </c>
      <c r="W11">
        <v>1</v>
      </c>
      <c r="X11">
        <v>3</v>
      </c>
      <c r="Y11">
        <v>3</v>
      </c>
      <c r="Z11">
        <v>3</v>
      </c>
      <c r="AA11">
        <v>1</v>
      </c>
      <c r="AB11">
        <v>1</v>
      </c>
      <c r="AC11">
        <v>3</v>
      </c>
      <c r="AD11">
        <v>1</v>
      </c>
      <c r="AE11">
        <v>3</v>
      </c>
      <c r="AF11">
        <v>1</v>
      </c>
      <c r="AG11">
        <v>1</v>
      </c>
      <c r="AH11">
        <v>3</v>
      </c>
      <c r="AI11">
        <v>2</v>
      </c>
      <c r="AJ11">
        <v>3</v>
      </c>
      <c r="AK11">
        <v>2</v>
      </c>
      <c r="AL11">
        <v>2</v>
      </c>
      <c r="AM11">
        <v>1</v>
      </c>
      <c r="AN11">
        <v>2</v>
      </c>
      <c r="AO11">
        <v>1</v>
      </c>
      <c r="AP11">
        <v>1</v>
      </c>
      <c r="AQ11">
        <v>2</v>
      </c>
      <c r="AR11">
        <v>2</v>
      </c>
      <c r="AS11">
        <v>2</v>
      </c>
    </row>
    <row r="12" spans="1:45">
      <c r="A12">
        <v>11</v>
      </c>
      <c r="B12" t="s">
        <v>72</v>
      </c>
      <c r="C12" t="s">
        <v>46</v>
      </c>
      <c r="D12" t="s">
        <v>47</v>
      </c>
      <c r="E12" t="s">
        <v>73</v>
      </c>
      <c r="F12">
        <v>5</v>
      </c>
      <c r="G12">
        <v>5</v>
      </c>
      <c r="H12">
        <v>3</v>
      </c>
      <c r="I12">
        <v>4</v>
      </c>
      <c r="J12">
        <v>3</v>
      </c>
      <c r="K12">
        <v>3</v>
      </c>
      <c r="L12">
        <v>4</v>
      </c>
      <c r="M12">
        <v>3</v>
      </c>
      <c r="N12">
        <v>4</v>
      </c>
      <c r="O12">
        <v>3</v>
      </c>
      <c r="P12">
        <v>3</v>
      </c>
      <c r="Q12">
        <v>3</v>
      </c>
      <c r="R12">
        <v>5</v>
      </c>
      <c r="S12">
        <v>3</v>
      </c>
      <c r="T12">
        <v>3</v>
      </c>
      <c r="U12">
        <v>3</v>
      </c>
      <c r="V12">
        <v>4</v>
      </c>
      <c r="W12">
        <v>5</v>
      </c>
      <c r="X12">
        <v>5</v>
      </c>
      <c r="Y12">
        <v>5</v>
      </c>
      <c r="Z12">
        <v>5</v>
      </c>
      <c r="AA12">
        <v>4</v>
      </c>
      <c r="AB12">
        <v>3</v>
      </c>
      <c r="AC12">
        <v>4</v>
      </c>
      <c r="AD12">
        <v>3</v>
      </c>
      <c r="AE12">
        <v>4</v>
      </c>
      <c r="AF12">
        <v>5</v>
      </c>
      <c r="AG12">
        <v>3</v>
      </c>
      <c r="AH12">
        <v>4</v>
      </c>
      <c r="AI12">
        <v>5</v>
      </c>
      <c r="AJ12">
        <v>4</v>
      </c>
      <c r="AK12">
        <v>5</v>
      </c>
      <c r="AL12">
        <v>3</v>
      </c>
      <c r="AM12">
        <v>5</v>
      </c>
      <c r="AN12">
        <v>4</v>
      </c>
      <c r="AO12">
        <v>3</v>
      </c>
      <c r="AP12">
        <v>4</v>
      </c>
      <c r="AQ12">
        <v>4</v>
      </c>
      <c r="AR12">
        <v>4</v>
      </c>
      <c r="AS12">
        <v>4</v>
      </c>
    </row>
    <row r="13" spans="1:45">
      <c r="A13">
        <v>12</v>
      </c>
      <c r="B13" t="s">
        <v>74</v>
      </c>
      <c r="C13" t="s">
        <v>50</v>
      </c>
      <c r="D13" t="s">
        <v>47</v>
      </c>
      <c r="E13" t="s">
        <v>75</v>
      </c>
      <c r="F13">
        <v>3</v>
      </c>
      <c r="G13">
        <v>5</v>
      </c>
      <c r="H13">
        <v>5</v>
      </c>
      <c r="I13">
        <v>4</v>
      </c>
      <c r="J13">
        <v>3</v>
      </c>
      <c r="K13">
        <v>3</v>
      </c>
      <c r="L13">
        <v>5</v>
      </c>
      <c r="M13">
        <v>5</v>
      </c>
      <c r="N13">
        <v>5</v>
      </c>
      <c r="O13">
        <v>3</v>
      </c>
      <c r="P13">
        <v>3</v>
      </c>
      <c r="Q13">
        <v>5</v>
      </c>
      <c r="R13">
        <v>3</v>
      </c>
      <c r="S13">
        <v>5</v>
      </c>
      <c r="T13">
        <v>3</v>
      </c>
      <c r="U13">
        <v>3</v>
      </c>
      <c r="V13">
        <v>3</v>
      </c>
      <c r="W13">
        <v>3</v>
      </c>
      <c r="X13">
        <v>3</v>
      </c>
      <c r="Y13">
        <v>5</v>
      </c>
      <c r="Z13">
        <v>3</v>
      </c>
      <c r="AA13">
        <v>3</v>
      </c>
      <c r="AB13">
        <v>3</v>
      </c>
      <c r="AC13">
        <v>4</v>
      </c>
      <c r="AD13">
        <v>3</v>
      </c>
      <c r="AE13">
        <v>5</v>
      </c>
      <c r="AF13">
        <v>4</v>
      </c>
      <c r="AG13">
        <v>4</v>
      </c>
      <c r="AH13">
        <v>5</v>
      </c>
      <c r="AI13">
        <v>3</v>
      </c>
      <c r="AJ13">
        <v>4</v>
      </c>
      <c r="AK13">
        <v>4</v>
      </c>
      <c r="AL13">
        <v>5</v>
      </c>
      <c r="AM13">
        <v>4</v>
      </c>
      <c r="AN13">
        <v>5</v>
      </c>
      <c r="AO13">
        <v>3</v>
      </c>
      <c r="AP13">
        <v>3</v>
      </c>
      <c r="AQ13">
        <v>3</v>
      </c>
      <c r="AR13">
        <v>3</v>
      </c>
      <c r="AS13">
        <v>3</v>
      </c>
    </row>
    <row r="14" spans="1:45">
      <c r="A14">
        <v>13</v>
      </c>
      <c r="B14" t="s">
        <v>76</v>
      </c>
      <c r="C14" t="s">
        <v>53</v>
      </c>
      <c r="D14" t="s">
        <v>54</v>
      </c>
      <c r="E14" t="s">
        <v>77</v>
      </c>
      <c r="F14">
        <v>1</v>
      </c>
      <c r="G14">
        <v>3</v>
      </c>
      <c r="H14">
        <v>3</v>
      </c>
      <c r="I14">
        <v>1</v>
      </c>
      <c r="J14">
        <v>1</v>
      </c>
      <c r="K14">
        <v>2</v>
      </c>
      <c r="L14">
        <v>2</v>
      </c>
      <c r="M14">
        <v>1</v>
      </c>
      <c r="N14">
        <v>1</v>
      </c>
      <c r="O14">
        <v>3</v>
      </c>
      <c r="P14">
        <v>2</v>
      </c>
      <c r="Q14">
        <v>1</v>
      </c>
      <c r="R14">
        <v>3</v>
      </c>
      <c r="S14">
        <v>2</v>
      </c>
      <c r="T14">
        <v>3</v>
      </c>
      <c r="U14">
        <v>1</v>
      </c>
      <c r="V14">
        <v>2</v>
      </c>
      <c r="W14">
        <v>2</v>
      </c>
      <c r="X14">
        <v>2</v>
      </c>
      <c r="Y14">
        <v>3</v>
      </c>
      <c r="Z14">
        <v>1</v>
      </c>
      <c r="AA14">
        <v>2</v>
      </c>
      <c r="AB14">
        <v>2</v>
      </c>
      <c r="AC14">
        <v>1</v>
      </c>
      <c r="AD14">
        <v>1</v>
      </c>
      <c r="AE14">
        <v>1</v>
      </c>
      <c r="AF14">
        <v>1</v>
      </c>
      <c r="AG14">
        <v>2</v>
      </c>
      <c r="AH14">
        <v>3</v>
      </c>
      <c r="AI14">
        <v>2</v>
      </c>
      <c r="AJ14">
        <v>3</v>
      </c>
      <c r="AK14">
        <v>3</v>
      </c>
      <c r="AL14">
        <v>2</v>
      </c>
      <c r="AM14">
        <v>3</v>
      </c>
      <c r="AN14">
        <v>1</v>
      </c>
      <c r="AO14">
        <v>3</v>
      </c>
      <c r="AP14">
        <v>1</v>
      </c>
      <c r="AQ14">
        <v>2</v>
      </c>
      <c r="AR14">
        <v>1</v>
      </c>
      <c r="AS14">
        <v>1</v>
      </c>
    </row>
    <row r="15" spans="1:45">
      <c r="A15">
        <v>14</v>
      </c>
      <c r="B15" t="s">
        <v>78</v>
      </c>
      <c r="C15" t="s">
        <v>57</v>
      </c>
      <c r="D15" t="s">
        <v>47</v>
      </c>
      <c r="E15" t="s">
        <v>79</v>
      </c>
      <c r="F15">
        <v>5</v>
      </c>
      <c r="G15">
        <v>3</v>
      </c>
      <c r="H15">
        <v>4</v>
      </c>
      <c r="I15">
        <v>4</v>
      </c>
      <c r="J15">
        <v>5</v>
      </c>
      <c r="K15">
        <v>4</v>
      </c>
      <c r="L15">
        <v>3</v>
      </c>
      <c r="M15">
        <v>4</v>
      </c>
      <c r="N15">
        <v>5</v>
      </c>
      <c r="O15">
        <v>3</v>
      </c>
      <c r="P15">
        <v>5</v>
      </c>
      <c r="Q15">
        <v>5</v>
      </c>
      <c r="R15">
        <v>3</v>
      </c>
      <c r="S15">
        <v>3</v>
      </c>
      <c r="T15">
        <v>3</v>
      </c>
      <c r="U15">
        <v>4</v>
      </c>
      <c r="V15">
        <v>3</v>
      </c>
      <c r="W15">
        <v>3</v>
      </c>
      <c r="X15">
        <v>3</v>
      </c>
      <c r="Y15">
        <v>3</v>
      </c>
      <c r="Z15">
        <v>5</v>
      </c>
      <c r="AA15">
        <v>5</v>
      </c>
      <c r="AB15">
        <v>3</v>
      </c>
      <c r="AC15">
        <v>3</v>
      </c>
      <c r="AD15">
        <v>5</v>
      </c>
      <c r="AE15">
        <v>5</v>
      </c>
      <c r="AF15">
        <v>4</v>
      </c>
      <c r="AG15">
        <v>4</v>
      </c>
      <c r="AH15">
        <v>5</v>
      </c>
      <c r="AI15">
        <v>5</v>
      </c>
      <c r="AJ15">
        <v>4</v>
      </c>
      <c r="AK15">
        <v>5</v>
      </c>
      <c r="AL15">
        <v>5</v>
      </c>
      <c r="AM15">
        <v>4</v>
      </c>
      <c r="AN15">
        <v>3</v>
      </c>
      <c r="AO15">
        <v>5</v>
      </c>
      <c r="AP15">
        <v>3</v>
      </c>
      <c r="AQ15">
        <v>3</v>
      </c>
      <c r="AR15">
        <v>5</v>
      </c>
      <c r="AS15">
        <v>4</v>
      </c>
    </row>
    <row r="16" spans="1:45">
      <c r="A16">
        <v>15</v>
      </c>
      <c r="B16" t="s">
        <v>80</v>
      </c>
      <c r="C16" t="s">
        <v>60</v>
      </c>
      <c r="D16" t="s">
        <v>47</v>
      </c>
      <c r="E16" t="s">
        <v>81</v>
      </c>
      <c r="F16">
        <v>3</v>
      </c>
      <c r="G16">
        <v>3</v>
      </c>
      <c r="H16">
        <v>5</v>
      </c>
      <c r="I16">
        <v>5</v>
      </c>
      <c r="J16">
        <v>5</v>
      </c>
      <c r="K16">
        <v>3</v>
      </c>
      <c r="L16">
        <v>5</v>
      </c>
      <c r="M16">
        <v>3</v>
      </c>
      <c r="N16">
        <v>3</v>
      </c>
      <c r="O16">
        <v>5</v>
      </c>
      <c r="P16">
        <v>5</v>
      </c>
      <c r="Q16">
        <v>4</v>
      </c>
      <c r="R16">
        <v>4</v>
      </c>
      <c r="S16">
        <v>3</v>
      </c>
      <c r="T16">
        <v>4</v>
      </c>
      <c r="U16">
        <v>5</v>
      </c>
      <c r="V16">
        <v>5</v>
      </c>
      <c r="W16">
        <v>4</v>
      </c>
      <c r="X16">
        <v>3</v>
      </c>
      <c r="Y16">
        <v>5</v>
      </c>
      <c r="Z16">
        <v>4</v>
      </c>
      <c r="AA16">
        <v>4</v>
      </c>
      <c r="AB16">
        <v>4</v>
      </c>
      <c r="AC16">
        <v>3</v>
      </c>
      <c r="AD16">
        <v>3</v>
      </c>
      <c r="AE16">
        <v>3</v>
      </c>
      <c r="AF16">
        <v>4</v>
      </c>
      <c r="AG16">
        <v>5</v>
      </c>
      <c r="AH16">
        <v>5</v>
      </c>
      <c r="AI16">
        <v>3</v>
      </c>
      <c r="AJ16">
        <v>4</v>
      </c>
      <c r="AK16">
        <v>4</v>
      </c>
      <c r="AL16">
        <v>5</v>
      </c>
      <c r="AM16">
        <v>4</v>
      </c>
      <c r="AN16">
        <v>3</v>
      </c>
      <c r="AO16">
        <v>5</v>
      </c>
      <c r="AP16">
        <v>5</v>
      </c>
      <c r="AQ16">
        <v>4</v>
      </c>
      <c r="AR16">
        <v>4</v>
      </c>
      <c r="AS16">
        <v>4</v>
      </c>
    </row>
    <row r="17" spans="1:45">
      <c r="A17">
        <v>16</v>
      </c>
      <c r="B17" t="s">
        <v>82</v>
      </c>
      <c r="C17" t="s">
        <v>46</v>
      </c>
      <c r="D17" t="s">
        <v>47</v>
      </c>
      <c r="E17" t="s">
        <v>83</v>
      </c>
      <c r="F17">
        <v>3</v>
      </c>
      <c r="G17">
        <v>5</v>
      </c>
      <c r="H17">
        <v>5</v>
      </c>
      <c r="I17">
        <v>3</v>
      </c>
      <c r="J17">
        <v>4</v>
      </c>
      <c r="K17">
        <v>3</v>
      </c>
      <c r="L17">
        <v>5</v>
      </c>
      <c r="M17">
        <v>4</v>
      </c>
      <c r="N17">
        <v>4</v>
      </c>
      <c r="O17">
        <v>4</v>
      </c>
      <c r="P17">
        <v>5</v>
      </c>
      <c r="Q17">
        <v>5</v>
      </c>
      <c r="R17">
        <v>5</v>
      </c>
      <c r="S17">
        <v>3</v>
      </c>
      <c r="T17">
        <v>4</v>
      </c>
      <c r="U17">
        <v>4</v>
      </c>
      <c r="V17">
        <v>4</v>
      </c>
      <c r="W17">
        <v>5</v>
      </c>
      <c r="X17">
        <v>4</v>
      </c>
      <c r="Y17">
        <v>3</v>
      </c>
      <c r="Z17">
        <v>5</v>
      </c>
      <c r="AA17">
        <v>4</v>
      </c>
      <c r="AB17">
        <v>3</v>
      </c>
      <c r="AC17">
        <v>3</v>
      </c>
      <c r="AD17">
        <v>5</v>
      </c>
      <c r="AE17">
        <v>3</v>
      </c>
      <c r="AF17">
        <v>4</v>
      </c>
      <c r="AG17">
        <v>3</v>
      </c>
      <c r="AH17">
        <v>3</v>
      </c>
      <c r="AI17">
        <v>3</v>
      </c>
      <c r="AJ17">
        <v>3</v>
      </c>
      <c r="AK17">
        <v>5</v>
      </c>
      <c r="AL17">
        <v>3</v>
      </c>
      <c r="AM17">
        <v>3</v>
      </c>
      <c r="AN17">
        <v>3</v>
      </c>
      <c r="AO17">
        <v>5</v>
      </c>
      <c r="AP17">
        <v>3</v>
      </c>
      <c r="AQ17">
        <v>4</v>
      </c>
      <c r="AR17">
        <v>5</v>
      </c>
      <c r="AS17">
        <v>3</v>
      </c>
    </row>
    <row r="18" spans="1:45">
      <c r="A18">
        <v>17</v>
      </c>
      <c r="B18" t="s">
        <v>84</v>
      </c>
      <c r="C18" t="s">
        <v>50</v>
      </c>
      <c r="D18" t="s">
        <v>47</v>
      </c>
      <c r="E18" t="s">
        <v>85</v>
      </c>
      <c r="F18">
        <v>4</v>
      </c>
      <c r="G18">
        <v>3</v>
      </c>
      <c r="H18">
        <v>3</v>
      </c>
      <c r="I18">
        <v>4</v>
      </c>
      <c r="J18">
        <v>4</v>
      </c>
      <c r="K18">
        <v>5</v>
      </c>
      <c r="L18">
        <v>4</v>
      </c>
      <c r="M18">
        <v>4</v>
      </c>
      <c r="N18">
        <v>5</v>
      </c>
      <c r="O18">
        <v>3</v>
      </c>
      <c r="P18">
        <v>5</v>
      </c>
      <c r="Q18">
        <v>5</v>
      </c>
      <c r="R18">
        <v>5</v>
      </c>
      <c r="S18">
        <v>3</v>
      </c>
      <c r="T18">
        <v>3</v>
      </c>
      <c r="U18">
        <v>4</v>
      </c>
      <c r="V18">
        <v>5</v>
      </c>
      <c r="W18">
        <v>5</v>
      </c>
      <c r="X18">
        <v>4</v>
      </c>
      <c r="Y18">
        <v>5</v>
      </c>
      <c r="Z18">
        <v>3</v>
      </c>
      <c r="AA18">
        <v>5</v>
      </c>
      <c r="AB18">
        <v>4</v>
      </c>
      <c r="AC18">
        <v>4</v>
      </c>
      <c r="AD18">
        <v>4</v>
      </c>
      <c r="AE18">
        <v>3</v>
      </c>
      <c r="AF18">
        <v>4</v>
      </c>
      <c r="AG18">
        <v>3</v>
      </c>
      <c r="AH18">
        <v>4</v>
      </c>
      <c r="AI18">
        <v>4</v>
      </c>
      <c r="AJ18">
        <v>4</v>
      </c>
      <c r="AK18">
        <v>4</v>
      </c>
      <c r="AL18">
        <v>3</v>
      </c>
      <c r="AM18">
        <v>5</v>
      </c>
      <c r="AN18">
        <v>4</v>
      </c>
      <c r="AO18">
        <v>4</v>
      </c>
      <c r="AP18">
        <v>3</v>
      </c>
      <c r="AQ18">
        <v>4</v>
      </c>
      <c r="AR18">
        <v>3</v>
      </c>
      <c r="AS18">
        <v>5</v>
      </c>
    </row>
    <row r="19" spans="1:45">
      <c r="A19">
        <v>18</v>
      </c>
      <c r="B19" t="s">
        <v>86</v>
      </c>
      <c r="C19" t="s">
        <v>53</v>
      </c>
      <c r="D19" t="s">
        <v>54</v>
      </c>
      <c r="E19" t="s">
        <v>87</v>
      </c>
      <c r="F19">
        <v>1</v>
      </c>
      <c r="G19">
        <v>2</v>
      </c>
      <c r="H19">
        <v>3</v>
      </c>
      <c r="I19">
        <v>2</v>
      </c>
      <c r="J19">
        <v>2</v>
      </c>
      <c r="K19">
        <v>1</v>
      </c>
      <c r="L19">
        <v>1</v>
      </c>
      <c r="M19">
        <v>2</v>
      </c>
      <c r="N19">
        <v>1</v>
      </c>
      <c r="O19">
        <v>3</v>
      </c>
      <c r="P19">
        <v>1</v>
      </c>
      <c r="Q19">
        <v>3</v>
      </c>
      <c r="R19">
        <v>1</v>
      </c>
      <c r="S19">
        <v>1</v>
      </c>
      <c r="T19">
        <v>3</v>
      </c>
      <c r="U19">
        <v>1</v>
      </c>
      <c r="V19">
        <v>1</v>
      </c>
      <c r="W19">
        <v>1</v>
      </c>
      <c r="X19">
        <v>2</v>
      </c>
      <c r="Y19">
        <v>3</v>
      </c>
      <c r="Z19">
        <v>1</v>
      </c>
      <c r="AA19">
        <v>1</v>
      </c>
      <c r="AB19">
        <v>1</v>
      </c>
      <c r="AC19">
        <v>2</v>
      </c>
      <c r="AD19">
        <v>1</v>
      </c>
      <c r="AE19">
        <v>2</v>
      </c>
      <c r="AF19">
        <v>3</v>
      </c>
      <c r="AG19">
        <v>2</v>
      </c>
      <c r="AH19">
        <v>1</v>
      </c>
      <c r="AI19">
        <v>3</v>
      </c>
      <c r="AJ19">
        <v>2</v>
      </c>
      <c r="AK19">
        <v>1</v>
      </c>
      <c r="AL19">
        <v>2</v>
      </c>
      <c r="AM19">
        <v>2</v>
      </c>
      <c r="AN19">
        <v>1</v>
      </c>
      <c r="AO19">
        <v>1</v>
      </c>
      <c r="AP19">
        <v>1</v>
      </c>
      <c r="AQ19">
        <v>3</v>
      </c>
      <c r="AR19">
        <v>2</v>
      </c>
      <c r="AS19">
        <v>2</v>
      </c>
    </row>
    <row r="20" spans="1:45">
      <c r="A20">
        <v>19</v>
      </c>
      <c r="B20" t="s">
        <v>88</v>
      </c>
      <c r="C20" t="s">
        <v>57</v>
      </c>
      <c r="D20" t="s">
        <v>47</v>
      </c>
      <c r="E20" t="s">
        <v>89</v>
      </c>
      <c r="F20">
        <v>4</v>
      </c>
      <c r="G20">
        <v>5</v>
      </c>
      <c r="H20">
        <v>5</v>
      </c>
      <c r="I20">
        <v>5</v>
      </c>
      <c r="J20">
        <v>5</v>
      </c>
      <c r="K20">
        <v>3</v>
      </c>
      <c r="L20">
        <v>5</v>
      </c>
      <c r="M20">
        <v>3</v>
      </c>
      <c r="N20">
        <v>3</v>
      </c>
      <c r="O20">
        <v>3</v>
      </c>
      <c r="P20">
        <v>5</v>
      </c>
      <c r="Q20">
        <v>3</v>
      </c>
      <c r="R20">
        <v>3</v>
      </c>
      <c r="S20">
        <v>5</v>
      </c>
      <c r="T20">
        <v>3</v>
      </c>
      <c r="U20">
        <v>3</v>
      </c>
      <c r="V20">
        <v>3</v>
      </c>
      <c r="W20">
        <v>4</v>
      </c>
      <c r="X20">
        <v>3</v>
      </c>
      <c r="Y20">
        <v>4</v>
      </c>
      <c r="Z20">
        <v>4</v>
      </c>
      <c r="AA20">
        <v>3</v>
      </c>
      <c r="AB20">
        <v>5</v>
      </c>
      <c r="AC20">
        <v>5</v>
      </c>
      <c r="AD20">
        <v>4</v>
      </c>
      <c r="AE20">
        <v>3</v>
      </c>
      <c r="AF20">
        <v>3</v>
      </c>
      <c r="AG20">
        <v>4</v>
      </c>
      <c r="AH20">
        <v>4</v>
      </c>
      <c r="AI20">
        <v>5</v>
      </c>
      <c r="AJ20">
        <v>5</v>
      </c>
      <c r="AK20">
        <v>3</v>
      </c>
      <c r="AL20">
        <v>4</v>
      </c>
      <c r="AM20">
        <v>4</v>
      </c>
      <c r="AN20">
        <v>4</v>
      </c>
      <c r="AO20">
        <v>4</v>
      </c>
      <c r="AP20">
        <v>5</v>
      </c>
      <c r="AQ20">
        <v>3</v>
      </c>
      <c r="AR20">
        <v>5</v>
      </c>
      <c r="AS20">
        <v>3</v>
      </c>
    </row>
    <row r="21" spans="1:45">
      <c r="A21">
        <v>20</v>
      </c>
      <c r="B21" t="s">
        <v>90</v>
      </c>
      <c r="C21" t="s">
        <v>60</v>
      </c>
      <c r="D21" t="s">
        <v>47</v>
      </c>
      <c r="E21" t="s">
        <v>91</v>
      </c>
      <c r="F21">
        <v>5</v>
      </c>
      <c r="G21">
        <v>3</v>
      </c>
      <c r="H21">
        <v>3</v>
      </c>
      <c r="I21">
        <v>5</v>
      </c>
      <c r="J21">
        <v>4</v>
      </c>
      <c r="K21">
        <v>4</v>
      </c>
      <c r="L21">
        <v>4</v>
      </c>
      <c r="M21">
        <v>3</v>
      </c>
      <c r="N21">
        <v>4</v>
      </c>
      <c r="O21">
        <v>3</v>
      </c>
      <c r="P21">
        <v>5</v>
      </c>
      <c r="Q21">
        <v>4</v>
      </c>
      <c r="R21">
        <v>3</v>
      </c>
      <c r="S21">
        <v>3</v>
      </c>
      <c r="T21">
        <v>5</v>
      </c>
      <c r="U21">
        <v>3</v>
      </c>
      <c r="V21">
        <v>5</v>
      </c>
      <c r="W21">
        <v>3</v>
      </c>
      <c r="X21">
        <v>3</v>
      </c>
      <c r="Y21">
        <v>4</v>
      </c>
      <c r="Z21">
        <v>4</v>
      </c>
      <c r="AA21">
        <v>5</v>
      </c>
      <c r="AB21">
        <v>4</v>
      </c>
      <c r="AC21">
        <v>5</v>
      </c>
      <c r="AD21">
        <v>3</v>
      </c>
      <c r="AE21">
        <v>5</v>
      </c>
      <c r="AF21">
        <v>3</v>
      </c>
      <c r="AG21">
        <v>5</v>
      </c>
      <c r="AH21">
        <v>5</v>
      </c>
      <c r="AI21">
        <v>4</v>
      </c>
      <c r="AJ21">
        <v>5</v>
      </c>
      <c r="AK21">
        <v>5</v>
      </c>
      <c r="AL21">
        <v>5</v>
      </c>
      <c r="AM21">
        <v>5</v>
      </c>
      <c r="AN21">
        <v>4</v>
      </c>
      <c r="AO21">
        <v>3</v>
      </c>
      <c r="AP21">
        <v>3</v>
      </c>
      <c r="AQ21">
        <v>5</v>
      </c>
      <c r="AR21">
        <v>4</v>
      </c>
      <c r="AS21">
        <v>3</v>
      </c>
    </row>
    <row r="22" spans="1:45">
      <c r="A22">
        <v>21</v>
      </c>
      <c r="B22" t="s">
        <v>92</v>
      </c>
      <c r="C22" t="s">
        <v>46</v>
      </c>
      <c r="D22" t="s">
        <v>54</v>
      </c>
      <c r="E22" t="s">
        <v>93</v>
      </c>
      <c r="F22">
        <v>2</v>
      </c>
      <c r="G22">
        <v>1</v>
      </c>
      <c r="H22">
        <v>1</v>
      </c>
      <c r="I22">
        <v>1</v>
      </c>
      <c r="J22">
        <v>2</v>
      </c>
      <c r="K22">
        <v>2</v>
      </c>
      <c r="L22">
        <v>3</v>
      </c>
      <c r="M22">
        <v>2</v>
      </c>
      <c r="N22">
        <v>2</v>
      </c>
      <c r="O22">
        <v>3</v>
      </c>
      <c r="P22">
        <v>3</v>
      </c>
      <c r="Q22">
        <v>1</v>
      </c>
      <c r="R22">
        <v>3</v>
      </c>
      <c r="S22">
        <v>2</v>
      </c>
      <c r="T22">
        <v>1</v>
      </c>
      <c r="U22">
        <v>2</v>
      </c>
      <c r="V22">
        <v>3</v>
      </c>
      <c r="W22">
        <v>1</v>
      </c>
      <c r="X22">
        <v>1</v>
      </c>
      <c r="Y22">
        <v>1</v>
      </c>
      <c r="Z22">
        <v>2</v>
      </c>
      <c r="AA22">
        <v>1</v>
      </c>
      <c r="AB22">
        <v>3</v>
      </c>
      <c r="AC22">
        <v>3</v>
      </c>
      <c r="AD22">
        <v>1</v>
      </c>
      <c r="AE22">
        <v>2</v>
      </c>
      <c r="AF22">
        <v>2</v>
      </c>
      <c r="AG22">
        <v>3</v>
      </c>
      <c r="AH22">
        <v>3</v>
      </c>
      <c r="AI22">
        <v>1</v>
      </c>
      <c r="AJ22">
        <v>2</v>
      </c>
      <c r="AK22">
        <v>1</v>
      </c>
      <c r="AL22">
        <v>3</v>
      </c>
      <c r="AM22">
        <v>2</v>
      </c>
      <c r="AN22">
        <v>3</v>
      </c>
      <c r="AO22">
        <v>3</v>
      </c>
      <c r="AP22">
        <v>3</v>
      </c>
      <c r="AQ22">
        <v>3</v>
      </c>
      <c r="AR22">
        <v>1</v>
      </c>
      <c r="AS22">
        <v>3</v>
      </c>
    </row>
    <row r="23" spans="1:45">
      <c r="A23">
        <v>22</v>
      </c>
      <c r="B23" t="s">
        <v>94</v>
      </c>
      <c r="C23" t="s">
        <v>50</v>
      </c>
      <c r="D23" t="s">
        <v>47</v>
      </c>
      <c r="E23" t="s">
        <v>95</v>
      </c>
      <c r="F23">
        <v>5</v>
      </c>
      <c r="G23">
        <v>5</v>
      </c>
      <c r="H23">
        <v>5</v>
      </c>
      <c r="I23">
        <v>4</v>
      </c>
      <c r="J23">
        <v>5</v>
      </c>
      <c r="K23">
        <v>5</v>
      </c>
      <c r="L23">
        <v>3</v>
      </c>
      <c r="M23">
        <v>4</v>
      </c>
      <c r="N23">
        <v>5</v>
      </c>
      <c r="O23">
        <v>5</v>
      </c>
      <c r="P23">
        <v>3</v>
      </c>
      <c r="Q23">
        <v>3</v>
      </c>
      <c r="R23">
        <v>5</v>
      </c>
      <c r="S23">
        <v>5</v>
      </c>
      <c r="T23">
        <v>3</v>
      </c>
      <c r="U23">
        <v>3</v>
      </c>
      <c r="V23">
        <v>3</v>
      </c>
      <c r="W23">
        <v>4</v>
      </c>
      <c r="X23">
        <v>3</v>
      </c>
      <c r="Y23">
        <v>4</v>
      </c>
      <c r="Z23">
        <v>3</v>
      </c>
      <c r="AA23">
        <v>5</v>
      </c>
      <c r="AB23">
        <v>4</v>
      </c>
      <c r="AC23">
        <v>4</v>
      </c>
      <c r="AD23">
        <v>5</v>
      </c>
      <c r="AE23">
        <v>4</v>
      </c>
      <c r="AF23">
        <v>3</v>
      </c>
      <c r="AG23">
        <v>4</v>
      </c>
      <c r="AH23">
        <v>3</v>
      </c>
      <c r="AI23">
        <v>3</v>
      </c>
      <c r="AJ23">
        <v>3</v>
      </c>
      <c r="AK23">
        <v>5</v>
      </c>
      <c r="AL23">
        <v>5</v>
      </c>
      <c r="AM23">
        <v>3</v>
      </c>
      <c r="AN23">
        <v>5</v>
      </c>
      <c r="AO23">
        <v>3</v>
      </c>
      <c r="AP23">
        <v>4</v>
      </c>
      <c r="AQ23">
        <v>4</v>
      </c>
      <c r="AR23">
        <v>4</v>
      </c>
      <c r="AS23">
        <v>3</v>
      </c>
    </row>
    <row r="24" spans="1:45">
      <c r="A24">
        <v>23</v>
      </c>
      <c r="B24" t="s">
        <v>96</v>
      </c>
      <c r="C24" t="s">
        <v>53</v>
      </c>
      <c r="D24" t="s">
        <v>47</v>
      </c>
      <c r="E24" t="s">
        <v>97</v>
      </c>
      <c r="F24">
        <v>4</v>
      </c>
      <c r="G24">
        <v>4</v>
      </c>
      <c r="H24">
        <v>4</v>
      </c>
      <c r="I24">
        <v>4</v>
      </c>
      <c r="J24">
        <v>4</v>
      </c>
      <c r="K24">
        <v>5</v>
      </c>
      <c r="L24">
        <v>5</v>
      </c>
      <c r="M24">
        <v>4</v>
      </c>
      <c r="N24">
        <v>3</v>
      </c>
      <c r="O24">
        <v>3</v>
      </c>
      <c r="P24">
        <v>5</v>
      </c>
      <c r="Q24">
        <v>5</v>
      </c>
      <c r="R24">
        <v>3</v>
      </c>
      <c r="S24">
        <v>4</v>
      </c>
      <c r="T24">
        <v>3</v>
      </c>
      <c r="U24">
        <v>3</v>
      </c>
      <c r="V24">
        <v>3</v>
      </c>
      <c r="W24">
        <v>3</v>
      </c>
      <c r="X24">
        <v>5</v>
      </c>
      <c r="Y24">
        <v>5</v>
      </c>
      <c r="Z24">
        <v>4</v>
      </c>
      <c r="AA24">
        <v>5</v>
      </c>
      <c r="AB24">
        <v>5</v>
      </c>
      <c r="AC24">
        <v>3</v>
      </c>
      <c r="AD24">
        <v>3</v>
      </c>
      <c r="AE24">
        <v>4</v>
      </c>
      <c r="AF24">
        <v>4</v>
      </c>
      <c r="AG24">
        <v>4</v>
      </c>
      <c r="AH24">
        <v>5</v>
      </c>
      <c r="AI24">
        <v>4</v>
      </c>
      <c r="AJ24">
        <v>4</v>
      </c>
      <c r="AK24">
        <v>3</v>
      </c>
      <c r="AL24">
        <v>4</v>
      </c>
      <c r="AM24">
        <v>4</v>
      </c>
      <c r="AN24">
        <v>3</v>
      </c>
      <c r="AO24">
        <v>5</v>
      </c>
      <c r="AP24">
        <v>5</v>
      </c>
      <c r="AQ24">
        <v>3</v>
      </c>
      <c r="AR24">
        <v>4</v>
      </c>
      <c r="AS24">
        <v>4</v>
      </c>
    </row>
    <row r="25" spans="1:45">
      <c r="A25">
        <v>24</v>
      </c>
      <c r="B25" t="s">
        <v>98</v>
      </c>
      <c r="C25" t="s">
        <v>57</v>
      </c>
      <c r="D25" t="s">
        <v>54</v>
      </c>
      <c r="E25" t="s">
        <v>99</v>
      </c>
      <c r="F25">
        <v>3</v>
      </c>
      <c r="G25">
        <v>2</v>
      </c>
      <c r="H25">
        <v>2</v>
      </c>
      <c r="I25">
        <v>1</v>
      </c>
      <c r="J25">
        <v>2</v>
      </c>
      <c r="K25">
        <v>3</v>
      </c>
      <c r="L25">
        <v>3</v>
      </c>
      <c r="M25">
        <v>2</v>
      </c>
      <c r="N25">
        <v>2</v>
      </c>
      <c r="O25">
        <v>3</v>
      </c>
      <c r="P25">
        <v>2</v>
      </c>
      <c r="Q25">
        <v>1</v>
      </c>
      <c r="R25">
        <v>3</v>
      </c>
      <c r="S25">
        <v>2</v>
      </c>
      <c r="T25">
        <v>2</v>
      </c>
      <c r="U25">
        <v>3</v>
      </c>
      <c r="V25">
        <v>1</v>
      </c>
      <c r="W25">
        <v>2</v>
      </c>
      <c r="X25">
        <v>3</v>
      </c>
      <c r="Y25">
        <v>2</v>
      </c>
      <c r="Z25">
        <v>1</v>
      </c>
      <c r="AA25">
        <v>1</v>
      </c>
      <c r="AB25">
        <v>1</v>
      </c>
      <c r="AC25">
        <v>3</v>
      </c>
      <c r="AD25">
        <v>2</v>
      </c>
      <c r="AE25">
        <v>1</v>
      </c>
      <c r="AF25">
        <v>1</v>
      </c>
      <c r="AG25">
        <v>2</v>
      </c>
      <c r="AH25">
        <v>3</v>
      </c>
      <c r="AI25">
        <v>3</v>
      </c>
      <c r="AJ25">
        <v>3</v>
      </c>
      <c r="AK25">
        <v>3</v>
      </c>
      <c r="AL25">
        <v>1</v>
      </c>
      <c r="AM25">
        <v>3</v>
      </c>
      <c r="AN25">
        <v>1</v>
      </c>
      <c r="AO25">
        <v>3</v>
      </c>
      <c r="AP25">
        <v>2</v>
      </c>
      <c r="AQ25">
        <v>3</v>
      </c>
      <c r="AR25">
        <v>1</v>
      </c>
      <c r="AS25">
        <v>3</v>
      </c>
    </row>
    <row r="26" spans="1:45">
      <c r="A26">
        <v>25</v>
      </c>
      <c r="B26" t="s">
        <v>100</v>
      </c>
      <c r="C26" t="s">
        <v>60</v>
      </c>
      <c r="D26" t="s">
        <v>47</v>
      </c>
      <c r="E26" t="s">
        <v>101</v>
      </c>
      <c r="F26">
        <v>3</v>
      </c>
      <c r="G26">
        <v>4</v>
      </c>
      <c r="H26">
        <v>3</v>
      </c>
      <c r="I26">
        <v>5</v>
      </c>
      <c r="J26">
        <v>4</v>
      </c>
      <c r="K26">
        <v>3</v>
      </c>
      <c r="L26">
        <v>3</v>
      </c>
      <c r="M26">
        <v>3</v>
      </c>
      <c r="N26">
        <v>3</v>
      </c>
      <c r="O26">
        <v>5</v>
      </c>
      <c r="P26">
        <v>3</v>
      </c>
      <c r="Q26">
        <v>4</v>
      </c>
      <c r="R26">
        <v>5</v>
      </c>
      <c r="S26">
        <v>4</v>
      </c>
      <c r="T26">
        <v>5</v>
      </c>
      <c r="U26">
        <v>5</v>
      </c>
      <c r="V26">
        <v>3</v>
      </c>
      <c r="W26">
        <v>5</v>
      </c>
      <c r="X26">
        <v>3</v>
      </c>
      <c r="Y26">
        <v>4</v>
      </c>
      <c r="Z26">
        <v>3</v>
      </c>
      <c r="AA26">
        <v>5</v>
      </c>
      <c r="AB26">
        <v>3</v>
      </c>
      <c r="AC26">
        <v>5</v>
      </c>
      <c r="AD26">
        <v>4</v>
      </c>
      <c r="AE26">
        <v>3</v>
      </c>
      <c r="AF26">
        <v>4</v>
      </c>
      <c r="AG26">
        <v>5</v>
      </c>
      <c r="AH26">
        <v>5</v>
      </c>
      <c r="AI26">
        <v>5</v>
      </c>
      <c r="AJ26">
        <v>4</v>
      </c>
      <c r="AK26">
        <v>3</v>
      </c>
      <c r="AL26">
        <v>3</v>
      </c>
      <c r="AM26">
        <v>5</v>
      </c>
      <c r="AN26">
        <v>3</v>
      </c>
      <c r="AO26">
        <v>4</v>
      </c>
      <c r="AP26">
        <v>3</v>
      </c>
      <c r="AQ26">
        <v>5</v>
      </c>
      <c r="AR26">
        <v>3</v>
      </c>
      <c r="AS26">
        <v>3</v>
      </c>
    </row>
    <row r="27" spans="1:45">
      <c r="A27">
        <v>26</v>
      </c>
      <c r="B27" t="s">
        <v>102</v>
      </c>
      <c r="C27" t="s">
        <v>46</v>
      </c>
      <c r="D27" t="s">
        <v>47</v>
      </c>
      <c r="E27" t="s">
        <v>103</v>
      </c>
      <c r="F27">
        <v>3</v>
      </c>
      <c r="G27">
        <v>5</v>
      </c>
      <c r="H27">
        <v>5</v>
      </c>
      <c r="I27">
        <v>4</v>
      </c>
      <c r="J27">
        <v>4</v>
      </c>
      <c r="K27">
        <v>3</v>
      </c>
      <c r="L27">
        <v>4</v>
      </c>
      <c r="M27">
        <v>5</v>
      </c>
      <c r="N27">
        <v>5</v>
      </c>
      <c r="O27">
        <v>5</v>
      </c>
      <c r="P27">
        <v>5</v>
      </c>
      <c r="Q27">
        <v>3</v>
      </c>
      <c r="R27">
        <v>3</v>
      </c>
      <c r="S27">
        <v>5</v>
      </c>
      <c r="T27">
        <v>5</v>
      </c>
      <c r="U27">
        <v>5</v>
      </c>
      <c r="V27">
        <v>5</v>
      </c>
      <c r="W27">
        <v>4</v>
      </c>
      <c r="X27">
        <v>4</v>
      </c>
      <c r="Y27">
        <v>5</v>
      </c>
      <c r="Z27">
        <v>4</v>
      </c>
      <c r="AA27">
        <v>4</v>
      </c>
      <c r="AB27">
        <v>3</v>
      </c>
      <c r="AC27">
        <v>5</v>
      </c>
      <c r="AD27">
        <v>3</v>
      </c>
      <c r="AE27">
        <v>3</v>
      </c>
      <c r="AF27">
        <v>3</v>
      </c>
      <c r="AG27">
        <v>3</v>
      </c>
      <c r="AH27">
        <v>3</v>
      </c>
      <c r="AI27">
        <v>4</v>
      </c>
      <c r="AJ27">
        <v>3</v>
      </c>
      <c r="AK27">
        <v>3</v>
      </c>
      <c r="AL27">
        <v>4</v>
      </c>
      <c r="AM27">
        <v>5</v>
      </c>
      <c r="AN27">
        <v>3</v>
      </c>
      <c r="AO27">
        <v>5</v>
      </c>
      <c r="AP27">
        <v>5</v>
      </c>
      <c r="AQ27">
        <v>4</v>
      </c>
      <c r="AR27">
        <v>5</v>
      </c>
      <c r="AS27">
        <v>3</v>
      </c>
    </row>
    <row r="28" spans="1:45">
      <c r="A28">
        <v>27</v>
      </c>
      <c r="B28" t="s">
        <v>104</v>
      </c>
      <c r="C28" t="s">
        <v>50</v>
      </c>
      <c r="D28" t="s">
        <v>54</v>
      </c>
      <c r="E28" t="s">
        <v>105</v>
      </c>
      <c r="F28">
        <v>3</v>
      </c>
      <c r="G28">
        <v>2</v>
      </c>
      <c r="H28">
        <v>3</v>
      </c>
      <c r="I28">
        <v>1</v>
      </c>
      <c r="J28">
        <v>2</v>
      </c>
      <c r="K28">
        <v>3</v>
      </c>
      <c r="L28">
        <v>1</v>
      </c>
      <c r="M28">
        <v>2</v>
      </c>
      <c r="N28">
        <v>2</v>
      </c>
      <c r="O28">
        <v>2</v>
      </c>
      <c r="P28">
        <v>3</v>
      </c>
      <c r="Q28">
        <v>2</v>
      </c>
      <c r="R28">
        <v>3</v>
      </c>
      <c r="S28">
        <v>1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1</v>
      </c>
      <c r="AA28">
        <v>2</v>
      </c>
      <c r="AB28">
        <v>1</v>
      </c>
      <c r="AC28">
        <v>3</v>
      </c>
      <c r="AD28">
        <v>1</v>
      </c>
      <c r="AE28">
        <v>2</v>
      </c>
      <c r="AF28">
        <v>1</v>
      </c>
      <c r="AG28">
        <v>3</v>
      </c>
      <c r="AH28">
        <v>1</v>
      </c>
      <c r="AI28">
        <v>3</v>
      </c>
      <c r="AJ28">
        <v>3</v>
      </c>
      <c r="AK28">
        <v>3</v>
      </c>
      <c r="AL28">
        <v>1</v>
      </c>
      <c r="AM28">
        <v>3</v>
      </c>
      <c r="AN28">
        <v>2</v>
      </c>
      <c r="AO28">
        <v>2</v>
      </c>
      <c r="AP28">
        <v>1</v>
      </c>
      <c r="AQ28">
        <v>3</v>
      </c>
      <c r="AR28">
        <v>1</v>
      </c>
      <c r="AS28">
        <v>3</v>
      </c>
    </row>
    <row r="29" spans="1:45">
      <c r="A29">
        <v>28</v>
      </c>
      <c r="B29" t="s">
        <v>106</v>
      </c>
      <c r="C29" t="s">
        <v>53</v>
      </c>
      <c r="D29" t="s">
        <v>47</v>
      </c>
      <c r="E29" t="s">
        <v>107</v>
      </c>
      <c r="F29">
        <v>3</v>
      </c>
      <c r="G29">
        <v>3</v>
      </c>
      <c r="H29">
        <v>5</v>
      </c>
      <c r="I29">
        <v>5</v>
      </c>
      <c r="J29">
        <v>5</v>
      </c>
      <c r="K29">
        <v>5</v>
      </c>
      <c r="L29">
        <v>4</v>
      </c>
      <c r="M29">
        <v>4</v>
      </c>
      <c r="N29">
        <v>4</v>
      </c>
      <c r="O29">
        <v>4</v>
      </c>
      <c r="P29">
        <v>5</v>
      </c>
      <c r="Q29">
        <v>5</v>
      </c>
      <c r="R29">
        <v>3</v>
      </c>
      <c r="S29">
        <v>3</v>
      </c>
      <c r="T29">
        <v>4</v>
      </c>
      <c r="U29">
        <v>3</v>
      </c>
      <c r="V29">
        <v>3</v>
      </c>
      <c r="W29">
        <v>3</v>
      </c>
      <c r="X29">
        <v>3</v>
      </c>
      <c r="Y29">
        <v>5</v>
      </c>
      <c r="Z29">
        <v>5</v>
      </c>
      <c r="AA29">
        <v>5</v>
      </c>
      <c r="AB29">
        <v>4</v>
      </c>
      <c r="AC29">
        <v>3</v>
      </c>
      <c r="AD29">
        <v>3</v>
      </c>
      <c r="AE29">
        <v>4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5</v>
      </c>
      <c r="AM29">
        <v>3</v>
      </c>
      <c r="AN29">
        <v>5</v>
      </c>
      <c r="AO29">
        <v>5</v>
      </c>
      <c r="AP29">
        <v>5</v>
      </c>
      <c r="AQ29">
        <v>5</v>
      </c>
      <c r="AR29">
        <v>3</v>
      </c>
      <c r="AS29">
        <v>3</v>
      </c>
    </row>
    <row r="30" spans="1:45">
      <c r="A30">
        <v>29</v>
      </c>
      <c r="B30" t="s">
        <v>108</v>
      </c>
      <c r="C30" t="s">
        <v>57</v>
      </c>
      <c r="D30" t="s">
        <v>47</v>
      </c>
      <c r="E30" t="s">
        <v>109</v>
      </c>
      <c r="F30">
        <v>4</v>
      </c>
      <c r="G30">
        <v>5</v>
      </c>
      <c r="H30">
        <v>3</v>
      </c>
      <c r="I30">
        <v>3</v>
      </c>
      <c r="J30">
        <v>4</v>
      </c>
      <c r="K30">
        <v>5</v>
      </c>
      <c r="L30">
        <v>3</v>
      </c>
      <c r="M30">
        <v>3</v>
      </c>
      <c r="N30">
        <v>3</v>
      </c>
      <c r="O30">
        <v>4</v>
      </c>
      <c r="P30">
        <v>4</v>
      </c>
      <c r="Q30">
        <v>4</v>
      </c>
      <c r="R30">
        <v>3</v>
      </c>
      <c r="S30">
        <v>5</v>
      </c>
      <c r="T30">
        <v>4</v>
      </c>
      <c r="U30">
        <v>4</v>
      </c>
      <c r="V30">
        <v>3</v>
      </c>
      <c r="W30">
        <v>5</v>
      </c>
      <c r="X30">
        <v>5</v>
      </c>
      <c r="Y30">
        <v>5</v>
      </c>
      <c r="Z30">
        <v>3</v>
      </c>
      <c r="AA30">
        <v>4</v>
      </c>
      <c r="AB30">
        <v>3</v>
      </c>
      <c r="AC30">
        <v>5</v>
      </c>
      <c r="AD30">
        <v>3</v>
      </c>
      <c r="AE30">
        <v>5</v>
      </c>
      <c r="AF30">
        <v>3</v>
      </c>
      <c r="AG30">
        <v>3</v>
      </c>
      <c r="AH30">
        <v>5</v>
      </c>
      <c r="AI30">
        <v>3</v>
      </c>
      <c r="AJ30">
        <v>5</v>
      </c>
      <c r="AK30">
        <v>4</v>
      </c>
      <c r="AL30">
        <v>4</v>
      </c>
      <c r="AM30">
        <v>3</v>
      </c>
      <c r="AN30">
        <v>3</v>
      </c>
      <c r="AO30">
        <v>3</v>
      </c>
      <c r="AP30">
        <v>4</v>
      </c>
      <c r="AQ30">
        <v>3</v>
      </c>
      <c r="AR30">
        <v>4</v>
      </c>
      <c r="AS30">
        <v>4</v>
      </c>
    </row>
    <row r="31" spans="1:45">
      <c r="A31">
        <v>30</v>
      </c>
      <c r="B31" t="s">
        <v>110</v>
      </c>
      <c r="C31" t="s">
        <v>60</v>
      </c>
      <c r="D31" t="s">
        <v>47</v>
      </c>
      <c r="E31" t="s">
        <v>111</v>
      </c>
      <c r="F31">
        <v>4</v>
      </c>
      <c r="G31">
        <v>5</v>
      </c>
      <c r="H31">
        <v>4</v>
      </c>
      <c r="I31">
        <v>3</v>
      </c>
      <c r="J31">
        <v>3</v>
      </c>
      <c r="K31">
        <v>4</v>
      </c>
      <c r="L31">
        <v>5</v>
      </c>
      <c r="M31">
        <v>4</v>
      </c>
      <c r="N31">
        <v>5</v>
      </c>
      <c r="O31">
        <v>5</v>
      </c>
      <c r="P31">
        <v>4</v>
      </c>
      <c r="Q31">
        <v>3</v>
      </c>
      <c r="R31">
        <v>5</v>
      </c>
      <c r="S31">
        <v>3</v>
      </c>
      <c r="T31">
        <v>5</v>
      </c>
      <c r="U31">
        <v>4</v>
      </c>
      <c r="V31">
        <v>3</v>
      </c>
      <c r="W31">
        <v>4</v>
      </c>
      <c r="X31">
        <v>4</v>
      </c>
      <c r="Y31">
        <v>5</v>
      </c>
      <c r="Z31">
        <v>4</v>
      </c>
      <c r="AA31">
        <v>4</v>
      </c>
      <c r="AB31">
        <v>4</v>
      </c>
      <c r="AC31">
        <v>3</v>
      </c>
      <c r="AD31">
        <v>4</v>
      </c>
      <c r="AE31">
        <v>4</v>
      </c>
      <c r="AF31">
        <v>5</v>
      </c>
      <c r="AG31">
        <v>4</v>
      </c>
      <c r="AH31">
        <v>5</v>
      </c>
      <c r="AI31">
        <v>4</v>
      </c>
      <c r="AJ31">
        <v>5</v>
      </c>
      <c r="AK31">
        <v>3</v>
      </c>
      <c r="AL31">
        <v>3</v>
      </c>
      <c r="AM31">
        <v>5</v>
      </c>
      <c r="AN31">
        <v>3</v>
      </c>
      <c r="AO31">
        <v>3</v>
      </c>
      <c r="AP31">
        <v>4</v>
      </c>
      <c r="AQ31">
        <v>5</v>
      </c>
      <c r="AR31">
        <v>5</v>
      </c>
      <c r="AS31">
        <v>5</v>
      </c>
    </row>
    <row r="32" spans="1:45">
      <c r="A32">
        <v>31</v>
      </c>
      <c r="B32" t="s">
        <v>112</v>
      </c>
      <c r="C32" t="s">
        <v>46</v>
      </c>
      <c r="D32" t="s">
        <v>47</v>
      </c>
      <c r="E32" t="s">
        <v>113</v>
      </c>
      <c r="F32">
        <v>5</v>
      </c>
      <c r="G32">
        <v>5</v>
      </c>
      <c r="H32">
        <v>4</v>
      </c>
      <c r="I32">
        <v>5</v>
      </c>
      <c r="J32">
        <v>5</v>
      </c>
      <c r="K32">
        <v>4</v>
      </c>
      <c r="L32">
        <v>4</v>
      </c>
      <c r="M32">
        <v>5</v>
      </c>
      <c r="N32">
        <v>5</v>
      </c>
      <c r="O32">
        <v>4</v>
      </c>
      <c r="P32">
        <v>3</v>
      </c>
      <c r="Q32">
        <v>3</v>
      </c>
      <c r="R32">
        <v>5</v>
      </c>
      <c r="S32">
        <v>3</v>
      </c>
      <c r="T32">
        <v>5</v>
      </c>
      <c r="U32">
        <v>4</v>
      </c>
      <c r="V32">
        <v>4</v>
      </c>
      <c r="W32">
        <v>5</v>
      </c>
      <c r="X32">
        <v>4</v>
      </c>
      <c r="Y32">
        <v>4</v>
      </c>
      <c r="Z32">
        <v>4</v>
      </c>
      <c r="AA32">
        <v>4</v>
      </c>
      <c r="AB32">
        <v>4</v>
      </c>
      <c r="AC32">
        <v>4</v>
      </c>
      <c r="AD32">
        <v>4</v>
      </c>
      <c r="AE32">
        <v>3</v>
      </c>
      <c r="AF32">
        <v>4</v>
      </c>
      <c r="AG32">
        <v>3</v>
      </c>
      <c r="AH32">
        <v>3</v>
      </c>
      <c r="AI32">
        <v>3</v>
      </c>
      <c r="AJ32">
        <v>4</v>
      </c>
      <c r="AK32">
        <v>5</v>
      </c>
      <c r="AL32">
        <v>4</v>
      </c>
      <c r="AM32">
        <v>3</v>
      </c>
      <c r="AN32">
        <v>3</v>
      </c>
      <c r="AO32">
        <v>5</v>
      </c>
      <c r="AP32">
        <v>5</v>
      </c>
      <c r="AQ32">
        <v>4</v>
      </c>
      <c r="AR32">
        <v>4</v>
      </c>
      <c r="AS32">
        <v>4</v>
      </c>
    </row>
    <row r="33" spans="1:45">
      <c r="A33">
        <v>32</v>
      </c>
      <c r="B33" t="s">
        <v>114</v>
      </c>
      <c r="C33" t="s">
        <v>50</v>
      </c>
      <c r="D33" t="s">
        <v>54</v>
      </c>
      <c r="E33" t="s">
        <v>115</v>
      </c>
      <c r="F33">
        <v>1</v>
      </c>
      <c r="G33">
        <v>2</v>
      </c>
      <c r="H33">
        <v>3</v>
      </c>
      <c r="I33">
        <v>2</v>
      </c>
      <c r="J33">
        <v>3</v>
      </c>
      <c r="K33">
        <v>2</v>
      </c>
      <c r="L33">
        <v>2</v>
      </c>
      <c r="M33">
        <v>2</v>
      </c>
      <c r="N33">
        <v>3</v>
      </c>
      <c r="O33">
        <v>3</v>
      </c>
      <c r="P33">
        <v>2</v>
      </c>
      <c r="Q33">
        <v>1</v>
      </c>
      <c r="R33">
        <v>1</v>
      </c>
      <c r="S33">
        <v>1</v>
      </c>
      <c r="T33">
        <v>1</v>
      </c>
      <c r="U33">
        <v>3</v>
      </c>
      <c r="V33">
        <v>1</v>
      </c>
      <c r="W33">
        <v>2</v>
      </c>
      <c r="X33">
        <v>3</v>
      </c>
      <c r="Y33">
        <v>1</v>
      </c>
      <c r="Z33">
        <v>3</v>
      </c>
      <c r="AA33">
        <v>2</v>
      </c>
      <c r="AB33">
        <v>1</v>
      </c>
      <c r="AC33">
        <v>1</v>
      </c>
      <c r="AD33">
        <v>3</v>
      </c>
      <c r="AE33">
        <v>2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3</v>
      </c>
      <c r="AL33">
        <v>3</v>
      </c>
      <c r="AM33">
        <v>1</v>
      </c>
      <c r="AN33">
        <v>1</v>
      </c>
      <c r="AO33">
        <v>2</v>
      </c>
      <c r="AP33">
        <v>3</v>
      </c>
      <c r="AQ33">
        <v>1</v>
      </c>
      <c r="AR33">
        <v>3</v>
      </c>
      <c r="AS33">
        <v>2</v>
      </c>
    </row>
    <row r="34" spans="1:45">
      <c r="A34">
        <v>33</v>
      </c>
      <c r="B34" t="s">
        <v>116</v>
      </c>
      <c r="C34" t="s">
        <v>53</v>
      </c>
      <c r="D34" t="s">
        <v>47</v>
      </c>
      <c r="E34" t="s">
        <v>117</v>
      </c>
      <c r="F34">
        <v>5</v>
      </c>
      <c r="G34">
        <v>3</v>
      </c>
      <c r="H34">
        <v>5</v>
      </c>
      <c r="I34">
        <v>3</v>
      </c>
      <c r="J34">
        <v>3</v>
      </c>
      <c r="K34">
        <v>3</v>
      </c>
      <c r="L34">
        <v>4</v>
      </c>
      <c r="M34">
        <v>5</v>
      </c>
      <c r="N34">
        <v>4</v>
      </c>
      <c r="O34">
        <v>4</v>
      </c>
      <c r="P34">
        <v>3</v>
      </c>
      <c r="Q34">
        <v>5</v>
      </c>
      <c r="R34">
        <v>3</v>
      </c>
      <c r="S34">
        <v>3</v>
      </c>
      <c r="T34">
        <v>3</v>
      </c>
      <c r="U34">
        <v>3</v>
      </c>
      <c r="V34">
        <v>4</v>
      </c>
      <c r="W34">
        <v>5</v>
      </c>
      <c r="X34">
        <v>4</v>
      </c>
      <c r="Y34">
        <v>5</v>
      </c>
      <c r="Z34">
        <v>5</v>
      </c>
      <c r="AA34">
        <v>4</v>
      </c>
      <c r="AB34">
        <v>5</v>
      </c>
      <c r="AC34">
        <v>4</v>
      </c>
      <c r="AD34">
        <v>5</v>
      </c>
      <c r="AE34">
        <v>4</v>
      </c>
      <c r="AF34">
        <v>4</v>
      </c>
      <c r="AG34">
        <v>5</v>
      </c>
      <c r="AH34">
        <v>5</v>
      </c>
      <c r="AI34">
        <v>5</v>
      </c>
      <c r="AJ34">
        <v>4</v>
      </c>
      <c r="AK34">
        <v>3</v>
      </c>
      <c r="AL34">
        <v>5</v>
      </c>
      <c r="AM34">
        <v>4</v>
      </c>
      <c r="AN34">
        <v>4</v>
      </c>
      <c r="AO34">
        <v>3</v>
      </c>
      <c r="AP34">
        <v>4</v>
      </c>
      <c r="AQ34">
        <v>3</v>
      </c>
      <c r="AR34">
        <v>5</v>
      </c>
      <c r="AS34">
        <v>5</v>
      </c>
    </row>
    <row r="35" spans="1:45">
      <c r="A35">
        <v>34</v>
      </c>
      <c r="B35" t="s">
        <v>118</v>
      </c>
      <c r="C35" t="s">
        <v>57</v>
      </c>
      <c r="D35" t="s">
        <v>47</v>
      </c>
      <c r="E35" t="s">
        <v>119</v>
      </c>
      <c r="F35">
        <v>4</v>
      </c>
      <c r="G35">
        <v>5</v>
      </c>
      <c r="H35">
        <v>4</v>
      </c>
      <c r="I35">
        <v>4</v>
      </c>
      <c r="J35">
        <v>5</v>
      </c>
      <c r="K35">
        <v>4</v>
      </c>
      <c r="L35">
        <v>5</v>
      </c>
      <c r="M35">
        <v>5</v>
      </c>
      <c r="N35">
        <v>3</v>
      </c>
      <c r="O35">
        <v>4</v>
      </c>
      <c r="P35">
        <v>4</v>
      </c>
      <c r="Q35">
        <v>4</v>
      </c>
      <c r="R35">
        <v>4</v>
      </c>
      <c r="S35">
        <v>5</v>
      </c>
      <c r="T35">
        <v>5</v>
      </c>
      <c r="U35">
        <v>3</v>
      </c>
      <c r="V35">
        <v>4</v>
      </c>
      <c r="W35">
        <v>4</v>
      </c>
      <c r="X35">
        <v>4</v>
      </c>
      <c r="Y35">
        <v>4</v>
      </c>
      <c r="Z35">
        <v>4</v>
      </c>
      <c r="AA35">
        <v>3</v>
      </c>
      <c r="AB35">
        <v>4</v>
      </c>
      <c r="AC35">
        <v>4</v>
      </c>
      <c r="AD35">
        <v>3</v>
      </c>
      <c r="AE35">
        <v>5</v>
      </c>
      <c r="AF35">
        <v>4</v>
      </c>
      <c r="AG35">
        <v>4</v>
      </c>
      <c r="AH35">
        <v>5</v>
      </c>
      <c r="AI35">
        <v>4</v>
      </c>
      <c r="AJ35">
        <v>5</v>
      </c>
      <c r="AK35">
        <v>4</v>
      </c>
      <c r="AL35">
        <v>3</v>
      </c>
      <c r="AM35">
        <v>5</v>
      </c>
      <c r="AN35">
        <v>5</v>
      </c>
      <c r="AO35">
        <v>4</v>
      </c>
      <c r="AP35">
        <v>3</v>
      </c>
      <c r="AQ35">
        <v>3</v>
      </c>
      <c r="AR35">
        <v>4</v>
      </c>
      <c r="AS35">
        <v>4</v>
      </c>
    </row>
    <row r="36" spans="1:45">
      <c r="A36">
        <v>35</v>
      </c>
      <c r="B36" t="s">
        <v>120</v>
      </c>
      <c r="C36" t="s">
        <v>60</v>
      </c>
      <c r="D36" t="s">
        <v>54</v>
      </c>
      <c r="E36" t="s">
        <v>121</v>
      </c>
      <c r="F36">
        <v>1</v>
      </c>
      <c r="G36">
        <v>1</v>
      </c>
      <c r="H36">
        <v>3</v>
      </c>
      <c r="I36">
        <v>3</v>
      </c>
      <c r="J36">
        <v>3</v>
      </c>
      <c r="K36">
        <v>2</v>
      </c>
      <c r="L36">
        <v>1</v>
      </c>
      <c r="M36">
        <v>1</v>
      </c>
      <c r="N36">
        <v>2</v>
      </c>
      <c r="O36">
        <v>1</v>
      </c>
      <c r="P36">
        <v>2</v>
      </c>
      <c r="Q36">
        <v>3</v>
      </c>
      <c r="R36">
        <v>1</v>
      </c>
      <c r="S36">
        <v>3</v>
      </c>
      <c r="T36">
        <v>1</v>
      </c>
      <c r="U36">
        <v>1</v>
      </c>
      <c r="V36">
        <v>3</v>
      </c>
      <c r="W36">
        <v>2</v>
      </c>
      <c r="X36">
        <v>3</v>
      </c>
      <c r="Y36">
        <v>3</v>
      </c>
      <c r="Z36">
        <v>3</v>
      </c>
      <c r="AA36">
        <v>2</v>
      </c>
      <c r="AB36">
        <v>1</v>
      </c>
      <c r="AC36">
        <v>1</v>
      </c>
      <c r="AD36">
        <v>1</v>
      </c>
      <c r="AE36">
        <v>3</v>
      </c>
      <c r="AF36">
        <v>1</v>
      </c>
      <c r="AG36">
        <v>1</v>
      </c>
      <c r="AH36">
        <v>1</v>
      </c>
      <c r="AI36">
        <v>3</v>
      </c>
      <c r="AJ36">
        <v>3</v>
      </c>
      <c r="AK36">
        <v>3</v>
      </c>
      <c r="AL36">
        <v>1</v>
      </c>
      <c r="AM36">
        <v>3</v>
      </c>
      <c r="AN36">
        <v>1</v>
      </c>
      <c r="AO36">
        <v>1</v>
      </c>
      <c r="AP36">
        <v>1</v>
      </c>
      <c r="AQ36">
        <v>2</v>
      </c>
      <c r="AR36">
        <v>2</v>
      </c>
      <c r="AS36">
        <v>3</v>
      </c>
    </row>
    <row r="37" spans="1:45">
      <c r="A37">
        <v>36</v>
      </c>
      <c r="B37" t="s">
        <v>122</v>
      </c>
      <c r="C37" t="s">
        <v>46</v>
      </c>
      <c r="D37" t="s">
        <v>47</v>
      </c>
      <c r="E37" t="s">
        <v>123</v>
      </c>
      <c r="F37">
        <v>5</v>
      </c>
      <c r="G37">
        <v>3</v>
      </c>
      <c r="H37">
        <v>3</v>
      </c>
      <c r="I37">
        <v>5</v>
      </c>
      <c r="J37">
        <v>3</v>
      </c>
      <c r="K37">
        <v>4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5</v>
      </c>
      <c r="S37">
        <v>3</v>
      </c>
      <c r="T37">
        <v>5</v>
      </c>
      <c r="U37">
        <v>4</v>
      </c>
      <c r="V37">
        <v>3</v>
      </c>
      <c r="W37">
        <v>5</v>
      </c>
      <c r="X37">
        <v>3</v>
      </c>
      <c r="Y37">
        <v>5</v>
      </c>
      <c r="Z37">
        <v>3</v>
      </c>
      <c r="AA37">
        <v>4</v>
      </c>
      <c r="AB37">
        <v>3</v>
      </c>
      <c r="AC37">
        <v>3</v>
      </c>
      <c r="AD37">
        <v>4</v>
      </c>
      <c r="AE37">
        <v>4</v>
      </c>
      <c r="AF37">
        <v>4</v>
      </c>
      <c r="AG37">
        <v>4</v>
      </c>
      <c r="AH37">
        <v>3</v>
      </c>
      <c r="AI37">
        <v>3</v>
      </c>
      <c r="AJ37">
        <v>4</v>
      </c>
      <c r="AK37">
        <v>5</v>
      </c>
      <c r="AL37">
        <v>4</v>
      </c>
      <c r="AM37">
        <v>3</v>
      </c>
      <c r="AN37">
        <v>5</v>
      </c>
      <c r="AO37">
        <v>5</v>
      </c>
      <c r="AP37">
        <v>3</v>
      </c>
      <c r="AQ37">
        <v>3</v>
      </c>
      <c r="AR37">
        <v>3</v>
      </c>
      <c r="AS37">
        <v>5</v>
      </c>
    </row>
    <row r="38" spans="1:45">
      <c r="A38">
        <v>37</v>
      </c>
      <c r="B38" t="s">
        <v>124</v>
      </c>
      <c r="C38" t="s">
        <v>50</v>
      </c>
      <c r="D38" t="s">
        <v>47</v>
      </c>
      <c r="E38" t="s">
        <v>125</v>
      </c>
      <c r="F38">
        <v>3</v>
      </c>
      <c r="G38">
        <v>4</v>
      </c>
      <c r="H38">
        <v>5</v>
      </c>
      <c r="I38">
        <v>5</v>
      </c>
      <c r="J38">
        <v>5</v>
      </c>
      <c r="K38">
        <v>4</v>
      </c>
      <c r="L38">
        <v>4</v>
      </c>
      <c r="M38">
        <v>4</v>
      </c>
      <c r="N38">
        <v>4</v>
      </c>
      <c r="O38">
        <v>4</v>
      </c>
      <c r="P38">
        <v>3</v>
      </c>
      <c r="Q38">
        <v>3</v>
      </c>
      <c r="R38">
        <v>5</v>
      </c>
      <c r="S38">
        <v>4</v>
      </c>
      <c r="T38">
        <v>3</v>
      </c>
      <c r="U38">
        <v>4</v>
      </c>
      <c r="V38">
        <v>5</v>
      </c>
      <c r="W38">
        <v>4</v>
      </c>
      <c r="X38">
        <v>3</v>
      </c>
      <c r="Y38">
        <v>3</v>
      </c>
      <c r="Z38">
        <v>3</v>
      </c>
      <c r="AA38">
        <v>4</v>
      </c>
      <c r="AB38">
        <v>3</v>
      </c>
      <c r="AC38">
        <v>3</v>
      </c>
      <c r="AD38">
        <v>5</v>
      </c>
      <c r="AE38">
        <v>5</v>
      </c>
      <c r="AF38">
        <v>4</v>
      </c>
      <c r="AG38">
        <v>4</v>
      </c>
      <c r="AH38">
        <v>3</v>
      </c>
      <c r="AI38">
        <v>4</v>
      </c>
      <c r="AJ38">
        <v>5</v>
      </c>
      <c r="AK38">
        <v>3</v>
      </c>
      <c r="AL38">
        <v>4</v>
      </c>
      <c r="AM38">
        <v>3</v>
      </c>
      <c r="AN38">
        <v>5</v>
      </c>
      <c r="AO38">
        <v>5</v>
      </c>
      <c r="AP38">
        <v>5</v>
      </c>
      <c r="AQ38">
        <v>5</v>
      </c>
      <c r="AR38">
        <v>4</v>
      </c>
      <c r="AS38">
        <v>5</v>
      </c>
    </row>
    <row r="39" spans="1:45">
      <c r="A39">
        <v>38</v>
      </c>
      <c r="B39" t="s">
        <v>126</v>
      </c>
      <c r="C39" t="s">
        <v>53</v>
      </c>
      <c r="D39" t="s">
        <v>54</v>
      </c>
      <c r="E39" t="s">
        <v>127</v>
      </c>
      <c r="F39">
        <v>3</v>
      </c>
      <c r="G39">
        <v>2</v>
      </c>
      <c r="H39">
        <v>3</v>
      </c>
      <c r="I39">
        <v>2</v>
      </c>
      <c r="J39">
        <v>3</v>
      </c>
      <c r="K39">
        <v>1</v>
      </c>
      <c r="L39">
        <v>3</v>
      </c>
      <c r="M39">
        <v>3</v>
      </c>
      <c r="N39">
        <v>1</v>
      </c>
      <c r="O39">
        <v>1</v>
      </c>
      <c r="P39">
        <v>1</v>
      </c>
      <c r="Q39">
        <v>3</v>
      </c>
      <c r="R39">
        <v>1</v>
      </c>
      <c r="S39">
        <v>3</v>
      </c>
      <c r="T39">
        <v>1</v>
      </c>
      <c r="U39">
        <v>2</v>
      </c>
      <c r="V39">
        <v>2</v>
      </c>
      <c r="W39">
        <v>2</v>
      </c>
      <c r="X39">
        <v>3</v>
      </c>
      <c r="Y39">
        <v>1</v>
      </c>
      <c r="Z39">
        <v>3</v>
      </c>
      <c r="AA39">
        <v>2</v>
      </c>
      <c r="AB39">
        <v>1</v>
      </c>
      <c r="AC39">
        <v>2</v>
      </c>
      <c r="AD39">
        <v>2</v>
      </c>
      <c r="AE39">
        <v>1</v>
      </c>
      <c r="AF39">
        <v>1</v>
      </c>
      <c r="AG39">
        <v>3</v>
      </c>
      <c r="AH39">
        <v>3</v>
      </c>
      <c r="AI39">
        <v>2</v>
      </c>
      <c r="AJ39">
        <v>2</v>
      </c>
      <c r="AK39">
        <v>3</v>
      </c>
      <c r="AL39">
        <v>1</v>
      </c>
      <c r="AM39">
        <v>3</v>
      </c>
      <c r="AN39">
        <v>2</v>
      </c>
      <c r="AO39">
        <v>2</v>
      </c>
      <c r="AP39">
        <v>3</v>
      </c>
      <c r="AQ39">
        <v>2</v>
      </c>
      <c r="AR39">
        <v>3</v>
      </c>
      <c r="AS39">
        <v>3</v>
      </c>
    </row>
    <row r="40" spans="1:45">
      <c r="A40">
        <v>39</v>
      </c>
      <c r="B40" t="s">
        <v>128</v>
      </c>
      <c r="C40" t="s">
        <v>57</v>
      </c>
      <c r="D40" t="s">
        <v>47</v>
      </c>
      <c r="E40" t="s">
        <v>129</v>
      </c>
      <c r="F40">
        <v>4</v>
      </c>
      <c r="G40">
        <v>5</v>
      </c>
      <c r="H40">
        <v>4</v>
      </c>
      <c r="I40">
        <v>5</v>
      </c>
      <c r="J40">
        <v>4</v>
      </c>
      <c r="K40">
        <v>3</v>
      </c>
      <c r="L40">
        <v>3</v>
      </c>
      <c r="M40">
        <v>3</v>
      </c>
      <c r="N40">
        <v>3</v>
      </c>
      <c r="O40">
        <v>5</v>
      </c>
      <c r="P40">
        <v>4</v>
      </c>
      <c r="Q40">
        <v>4</v>
      </c>
      <c r="R40">
        <v>3</v>
      </c>
      <c r="S40">
        <v>5</v>
      </c>
      <c r="T40">
        <v>4</v>
      </c>
      <c r="U40">
        <v>3</v>
      </c>
      <c r="V40">
        <v>3</v>
      </c>
      <c r="W40">
        <v>3</v>
      </c>
      <c r="X40">
        <v>3</v>
      </c>
      <c r="Y40">
        <v>5</v>
      </c>
      <c r="Z40">
        <v>3</v>
      </c>
      <c r="AA40">
        <v>5</v>
      </c>
      <c r="AB40">
        <v>5</v>
      </c>
      <c r="AC40">
        <v>3</v>
      </c>
      <c r="AD40">
        <v>4</v>
      </c>
      <c r="AE40">
        <v>4</v>
      </c>
      <c r="AF40">
        <v>3</v>
      </c>
      <c r="AG40">
        <v>3</v>
      </c>
      <c r="AH40">
        <v>4</v>
      </c>
      <c r="AI40">
        <v>5</v>
      </c>
      <c r="AJ40">
        <v>5</v>
      </c>
      <c r="AK40">
        <v>4</v>
      </c>
      <c r="AL40">
        <v>5</v>
      </c>
      <c r="AM40">
        <v>3</v>
      </c>
      <c r="AN40">
        <v>5</v>
      </c>
      <c r="AO40">
        <v>3</v>
      </c>
      <c r="AP40">
        <v>3</v>
      </c>
      <c r="AQ40">
        <v>3</v>
      </c>
      <c r="AR40">
        <v>4</v>
      </c>
      <c r="AS40">
        <v>5</v>
      </c>
    </row>
    <row r="41" spans="1:45">
      <c r="A41">
        <v>40</v>
      </c>
      <c r="B41" t="s">
        <v>130</v>
      </c>
      <c r="C41" t="s">
        <v>60</v>
      </c>
      <c r="D41" t="s">
        <v>47</v>
      </c>
      <c r="E41" t="s">
        <v>131</v>
      </c>
      <c r="F41">
        <v>5</v>
      </c>
      <c r="G41">
        <v>5</v>
      </c>
      <c r="H41">
        <v>3</v>
      </c>
      <c r="I41">
        <v>5</v>
      </c>
      <c r="J41">
        <v>3</v>
      </c>
      <c r="K41">
        <v>5</v>
      </c>
      <c r="L41">
        <v>4</v>
      </c>
      <c r="M41">
        <v>3</v>
      </c>
      <c r="N41">
        <v>4</v>
      </c>
      <c r="O41">
        <v>5</v>
      </c>
      <c r="P41">
        <v>3</v>
      </c>
      <c r="Q41">
        <v>4</v>
      </c>
      <c r="R41">
        <v>4</v>
      </c>
      <c r="S41">
        <v>4</v>
      </c>
      <c r="T41">
        <v>5</v>
      </c>
      <c r="U41">
        <v>5</v>
      </c>
      <c r="V41">
        <v>3</v>
      </c>
      <c r="W41">
        <v>5</v>
      </c>
      <c r="X41">
        <v>4</v>
      </c>
      <c r="Y41">
        <v>4</v>
      </c>
      <c r="Z41">
        <v>4</v>
      </c>
      <c r="AA41">
        <v>5</v>
      </c>
      <c r="AB41">
        <v>3</v>
      </c>
      <c r="AC41">
        <v>3</v>
      </c>
      <c r="AD41">
        <v>4</v>
      </c>
      <c r="AE41">
        <v>5</v>
      </c>
      <c r="AF41">
        <v>5</v>
      </c>
      <c r="AG41">
        <v>5</v>
      </c>
      <c r="AH41">
        <v>3</v>
      </c>
      <c r="AI41">
        <v>5</v>
      </c>
      <c r="AJ41">
        <v>5</v>
      </c>
      <c r="AK41">
        <v>5</v>
      </c>
      <c r="AL41">
        <v>4</v>
      </c>
      <c r="AM41">
        <v>3</v>
      </c>
      <c r="AN41">
        <v>4</v>
      </c>
      <c r="AO41">
        <v>3</v>
      </c>
      <c r="AP41">
        <v>5</v>
      </c>
      <c r="AQ41">
        <v>4</v>
      </c>
      <c r="AR41">
        <v>3</v>
      </c>
      <c r="AS41">
        <v>4</v>
      </c>
    </row>
    <row r="42" spans="1:45">
      <c r="A42">
        <v>41</v>
      </c>
      <c r="B42" t="s">
        <v>132</v>
      </c>
      <c r="C42" t="s">
        <v>46</v>
      </c>
      <c r="D42" t="s">
        <v>47</v>
      </c>
      <c r="E42" t="s">
        <v>133</v>
      </c>
      <c r="F42">
        <v>4</v>
      </c>
      <c r="G42">
        <v>3</v>
      </c>
      <c r="H42">
        <v>5</v>
      </c>
      <c r="I42">
        <v>4</v>
      </c>
      <c r="J42">
        <v>5</v>
      </c>
      <c r="K42">
        <v>4</v>
      </c>
      <c r="L42">
        <v>4</v>
      </c>
      <c r="M42">
        <v>5</v>
      </c>
      <c r="N42">
        <v>5</v>
      </c>
      <c r="O42">
        <v>4</v>
      </c>
      <c r="P42">
        <v>4</v>
      </c>
      <c r="Q42">
        <v>3</v>
      </c>
      <c r="R42">
        <v>4</v>
      </c>
      <c r="S42">
        <v>3</v>
      </c>
      <c r="T42">
        <v>4</v>
      </c>
      <c r="U42">
        <v>3</v>
      </c>
      <c r="V42">
        <v>5</v>
      </c>
      <c r="W42">
        <v>5</v>
      </c>
      <c r="X42">
        <v>4</v>
      </c>
      <c r="Y42">
        <v>4</v>
      </c>
      <c r="Z42">
        <v>5</v>
      </c>
      <c r="AA42">
        <v>4</v>
      </c>
      <c r="AB42">
        <v>3</v>
      </c>
      <c r="AC42">
        <v>5</v>
      </c>
      <c r="AD42">
        <v>5</v>
      </c>
      <c r="AE42">
        <v>5</v>
      </c>
      <c r="AF42">
        <v>3</v>
      </c>
      <c r="AG42">
        <v>4</v>
      </c>
      <c r="AH42">
        <v>5</v>
      </c>
      <c r="AI42">
        <v>5</v>
      </c>
      <c r="AJ42">
        <v>5</v>
      </c>
      <c r="AK42">
        <v>5</v>
      </c>
      <c r="AL42">
        <v>3</v>
      </c>
      <c r="AM42">
        <v>3</v>
      </c>
      <c r="AN42">
        <v>4</v>
      </c>
      <c r="AO42">
        <v>4</v>
      </c>
      <c r="AP42">
        <v>5</v>
      </c>
      <c r="AQ42">
        <v>5</v>
      </c>
      <c r="AR42">
        <v>4</v>
      </c>
      <c r="AS42">
        <v>3</v>
      </c>
    </row>
    <row r="43" spans="1:45">
      <c r="A43">
        <v>42</v>
      </c>
      <c r="B43" t="s">
        <v>134</v>
      </c>
      <c r="C43" t="s">
        <v>50</v>
      </c>
      <c r="D43" t="s">
        <v>47</v>
      </c>
      <c r="E43" t="s">
        <v>135</v>
      </c>
      <c r="F43">
        <v>3</v>
      </c>
      <c r="G43">
        <v>3</v>
      </c>
      <c r="H43">
        <v>3</v>
      </c>
      <c r="I43">
        <v>4</v>
      </c>
      <c r="J43">
        <v>3</v>
      </c>
      <c r="K43">
        <v>4</v>
      </c>
      <c r="L43">
        <v>5</v>
      </c>
      <c r="M43">
        <v>5</v>
      </c>
      <c r="N43">
        <v>5</v>
      </c>
      <c r="O43">
        <v>3</v>
      </c>
      <c r="P43">
        <v>3</v>
      </c>
      <c r="Q43">
        <v>3</v>
      </c>
      <c r="R43">
        <v>3</v>
      </c>
      <c r="S43">
        <v>5</v>
      </c>
      <c r="T43">
        <v>3</v>
      </c>
      <c r="U43">
        <v>3</v>
      </c>
      <c r="V43">
        <v>3</v>
      </c>
      <c r="W43">
        <v>3</v>
      </c>
      <c r="X43">
        <v>3</v>
      </c>
      <c r="Y43">
        <v>5</v>
      </c>
      <c r="Z43">
        <v>5</v>
      </c>
      <c r="AA43">
        <v>3</v>
      </c>
      <c r="AB43">
        <v>5</v>
      </c>
      <c r="AC43">
        <v>4</v>
      </c>
      <c r="AD43">
        <v>4</v>
      </c>
      <c r="AE43">
        <v>4</v>
      </c>
      <c r="AF43">
        <v>5</v>
      </c>
      <c r="AG43">
        <v>5</v>
      </c>
      <c r="AH43">
        <v>3</v>
      </c>
      <c r="AI43">
        <v>4</v>
      </c>
      <c r="AJ43">
        <v>4</v>
      </c>
      <c r="AK43">
        <v>5</v>
      </c>
      <c r="AL43">
        <v>5</v>
      </c>
      <c r="AM43">
        <v>4</v>
      </c>
      <c r="AN43">
        <v>3</v>
      </c>
      <c r="AO43">
        <v>4</v>
      </c>
      <c r="AP43">
        <v>3</v>
      </c>
      <c r="AQ43">
        <v>4</v>
      </c>
      <c r="AR43">
        <v>3</v>
      </c>
      <c r="AS43">
        <v>5</v>
      </c>
    </row>
    <row r="44" spans="1:45">
      <c r="A44">
        <v>43</v>
      </c>
      <c r="B44" t="s">
        <v>136</v>
      </c>
      <c r="C44" t="s">
        <v>53</v>
      </c>
      <c r="D44" t="s">
        <v>54</v>
      </c>
      <c r="E44" t="s">
        <v>137</v>
      </c>
      <c r="F44">
        <v>2</v>
      </c>
      <c r="G44">
        <v>3</v>
      </c>
      <c r="H44">
        <v>1</v>
      </c>
      <c r="I44">
        <v>3</v>
      </c>
      <c r="J44">
        <v>2</v>
      </c>
      <c r="K44">
        <v>3</v>
      </c>
      <c r="L44">
        <v>3</v>
      </c>
      <c r="M44">
        <v>2</v>
      </c>
      <c r="N44">
        <v>3</v>
      </c>
      <c r="O44">
        <v>2</v>
      </c>
      <c r="P44">
        <v>2</v>
      </c>
      <c r="Q44">
        <v>2</v>
      </c>
      <c r="R44">
        <v>2</v>
      </c>
      <c r="S44">
        <v>2</v>
      </c>
      <c r="T44">
        <v>3</v>
      </c>
      <c r="U44">
        <v>3</v>
      </c>
      <c r="V44">
        <v>2</v>
      </c>
      <c r="W44">
        <v>1</v>
      </c>
      <c r="X44">
        <v>3</v>
      </c>
      <c r="Y44">
        <v>3</v>
      </c>
      <c r="Z44">
        <v>2</v>
      </c>
      <c r="AA44">
        <v>1</v>
      </c>
      <c r="AB44">
        <v>2</v>
      </c>
      <c r="AC44">
        <v>1</v>
      </c>
      <c r="AD44">
        <v>2</v>
      </c>
      <c r="AE44">
        <v>3</v>
      </c>
      <c r="AF44">
        <v>3</v>
      </c>
      <c r="AG44">
        <v>1</v>
      </c>
      <c r="AH44">
        <v>2</v>
      </c>
      <c r="AI44">
        <v>2</v>
      </c>
      <c r="AJ44">
        <v>2</v>
      </c>
      <c r="AK44">
        <v>1</v>
      </c>
      <c r="AL44">
        <v>2</v>
      </c>
      <c r="AM44">
        <v>2</v>
      </c>
      <c r="AN44">
        <v>1</v>
      </c>
      <c r="AO44">
        <v>2</v>
      </c>
      <c r="AP44">
        <v>3</v>
      </c>
      <c r="AQ44">
        <v>1</v>
      </c>
      <c r="AR44">
        <v>1</v>
      </c>
      <c r="AS44">
        <v>3</v>
      </c>
    </row>
    <row r="45" spans="1:45">
      <c r="A45">
        <v>44</v>
      </c>
      <c r="B45" t="s">
        <v>138</v>
      </c>
      <c r="C45" t="s">
        <v>57</v>
      </c>
      <c r="D45" t="s">
        <v>47</v>
      </c>
      <c r="E45" t="s">
        <v>139</v>
      </c>
      <c r="F45">
        <v>3</v>
      </c>
      <c r="G45">
        <v>3</v>
      </c>
      <c r="H45">
        <v>4</v>
      </c>
      <c r="I45">
        <v>4</v>
      </c>
      <c r="J45">
        <v>4</v>
      </c>
      <c r="K45">
        <v>3</v>
      </c>
      <c r="L45">
        <v>3</v>
      </c>
      <c r="M45">
        <v>5</v>
      </c>
      <c r="N45">
        <v>4</v>
      </c>
      <c r="O45">
        <v>3</v>
      </c>
      <c r="P45">
        <v>4</v>
      </c>
      <c r="Q45">
        <v>3</v>
      </c>
      <c r="R45">
        <v>4</v>
      </c>
      <c r="S45">
        <v>5</v>
      </c>
      <c r="T45">
        <v>4</v>
      </c>
      <c r="U45">
        <v>5</v>
      </c>
      <c r="V45">
        <v>4</v>
      </c>
      <c r="W45">
        <v>4</v>
      </c>
      <c r="X45">
        <v>4</v>
      </c>
      <c r="Y45">
        <v>4</v>
      </c>
      <c r="Z45">
        <v>5</v>
      </c>
      <c r="AA45">
        <v>3</v>
      </c>
      <c r="AB45">
        <v>5</v>
      </c>
      <c r="AC45">
        <v>5</v>
      </c>
      <c r="AD45">
        <v>3</v>
      </c>
      <c r="AE45">
        <v>4</v>
      </c>
      <c r="AF45">
        <v>4</v>
      </c>
      <c r="AG45">
        <v>5</v>
      </c>
      <c r="AH45">
        <v>4</v>
      </c>
      <c r="AI45">
        <v>3</v>
      </c>
      <c r="AJ45">
        <v>5</v>
      </c>
      <c r="AK45">
        <v>5</v>
      </c>
      <c r="AL45">
        <v>4</v>
      </c>
      <c r="AM45">
        <v>3</v>
      </c>
      <c r="AN45">
        <v>3</v>
      </c>
      <c r="AO45">
        <v>3</v>
      </c>
      <c r="AP45">
        <v>3</v>
      </c>
      <c r="AQ45">
        <v>5</v>
      </c>
      <c r="AR45">
        <v>5</v>
      </c>
      <c r="AS45">
        <v>4</v>
      </c>
    </row>
    <row r="46" spans="1:45">
      <c r="A46">
        <v>45</v>
      </c>
      <c r="B46" t="s">
        <v>140</v>
      </c>
      <c r="C46" t="s">
        <v>60</v>
      </c>
      <c r="D46" t="s">
        <v>47</v>
      </c>
      <c r="E46" t="s">
        <v>141</v>
      </c>
      <c r="F46">
        <v>4</v>
      </c>
      <c r="G46">
        <v>3</v>
      </c>
      <c r="H46">
        <v>3</v>
      </c>
      <c r="I46">
        <v>3</v>
      </c>
      <c r="J46">
        <v>5</v>
      </c>
      <c r="K46">
        <v>4</v>
      </c>
      <c r="L46">
        <v>4</v>
      </c>
      <c r="M46">
        <v>3</v>
      </c>
      <c r="N46">
        <v>3</v>
      </c>
      <c r="O46">
        <v>5</v>
      </c>
      <c r="P46">
        <v>4</v>
      </c>
      <c r="Q46">
        <v>3</v>
      </c>
      <c r="R46">
        <v>5</v>
      </c>
      <c r="S46">
        <v>4</v>
      </c>
      <c r="T46">
        <v>5</v>
      </c>
      <c r="U46">
        <v>4</v>
      </c>
      <c r="V46">
        <v>4</v>
      </c>
      <c r="W46">
        <v>5</v>
      </c>
      <c r="X46">
        <v>3</v>
      </c>
      <c r="Y46">
        <v>5</v>
      </c>
      <c r="Z46">
        <v>5</v>
      </c>
      <c r="AA46">
        <v>5</v>
      </c>
      <c r="AB46">
        <v>4</v>
      </c>
      <c r="AC46">
        <v>3</v>
      </c>
      <c r="AD46">
        <v>4</v>
      </c>
      <c r="AE46">
        <v>4</v>
      </c>
      <c r="AF46">
        <v>3</v>
      </c>
      <c r="AG46">
        <v>4</v>
      </c>
      <c r="AH46">
        <v>4</v>
      </c>
      <c r="AI46">
        <v>4</v>
      </c>
      <c r="AJ46">
        <v>3</v>
      </c>
      <c r="AK46">
        <v>5</v>
      </c>
      <c r="AL46">
        <v>5</v>
      </c>
      <c r="AM46">
        <v>4</v>
      </c>
      <c r="AN46">
        <v>4</v>
      </c>
      <c r="AO46">
        <v>5</v>
      </c>
      <c r="AP46">
        <v>4</v>
      </c>
      <c r="AQ46">
        <v>4</v>
      </c>
      <c r="AR46">
        <v>3</v>
      </c>
      <c r="AS46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4417-B927-4FFE-828D-71068D90B0D4}">
  <dimension ref="A1:F70"/>
  <sheetViews>
    <sheetView topLeftCell="A46" workbookViewId="0">
      <selection activeCell="B66" sqref="B66"/>
    </sheetView>
  </sheetViews>
  <sheetFormatPr defaultColWidth="12.5703125" defaultRowHeight="15"/>
  <cols>
    <col min="1" max="1" width="76" style="8" bestFit="1" customWidth="1"/>
    <col min="2" max="2" width="91.28515625" style="8" bestFit="1" customWidth="1"/>
    <col min="3" max="3" width="73.28515625" style="8" bestFit="1" customWidth="1"/>
    <col min="4" max="4" width="73.140625" style="8" bestFit="1" customWidth="1"/>
    <col min="5" max="5" width="70.140625" style="8" bestFit="1" customWidth="1"/>
    <col min="6" max="6" width="61.85546875" style="8" bestFit="1" customWidth="1"/>
    <col min="7" max="16384" width="12.5703125" style="8"/>
  </cols>
  <sheetData>
    <row r="1" spans="1:6">
      <c r="A1" s="6"/>
      <c r="B1" s="7"/>
      <c r="C1" s="7"/>
      <c r="D1" s="7"/>
      <c r="E1" s="7"/>
      <c r="F1" s="7"/>
    </row>
    <row r="2" spans="1:6">
      <c r="A2" s="26" t="s">
        <v>521</v>
      </c>
      <c r="B2" s="27"/>
      <c r="C2" s="27"/>
      <c r="D2" s="27"/>
      <c r="E2" s="27"/>
      <c r="F2" s="28"/>
    </row>
    <row r="3" spans="1:6">
      <c r="A3" s="9"/>
      <c r="B3" s="7"/>
      <c r="C3" s="7"/>
      <c r="D3" s="7"/>
      <c r="E3" s="7"/>
      <c r="F3" s="10"/>
    </row>
    <row r="4" spans="1:6">
      <c r="A4" s="11" t="s">
        <v>522</v>
      </c>
      <c r="B4" s="12" t="s">
        <v>523</v>
      </c>
      <c r="C4" s="12" t="s">
        <v>524</v>
      </c>
      <c r="D4" s="12" t="s">
        <v>525</v>
      </c>
      <c r="E4" s="12" t="s">
        <v>526</v>
      </c>
      <c r="F4" s="12" t="s">
        <v>527</v>
      </c>
    </row>
    <row r="5" spans="1:6">
      <c r="A5" s="13" t="s">
        <v>5</v>
      </c>
      <c r="B5" s="14" t="s">
        <v>689</v>
      </c>
      <c r="C5" s="14" t="s">
        <v>690</v>
      </c>
      <c r="D5" s="14" t="s">
        <v>691</v>
      </c>
      <c r="E5" s="15" t="s">
        <v>692</v>
      </c>
      <c r="F5" s="16" t="s">
        <v>693</v>
      </c>
    </row>
    <row r="6" spans="1:6">
      <c r="A6" s="13" t="s">
        <v>6</v>
      </c>
      <c r="B6" s="14" t="s">
        <v>697</v>
      </c>
      <c r="C6" s="14" t="s">
        <v>528</v>
      </c>
      <c r="D6" s="14" t="s">
        <v>529</v>
      </c>
      <c r="E6" s="14" t="s">
        <v>530</v>
      </c>
      <c r="F6" s="16" t="s">
        <v>694</v>
      </c>
    </row>
    <row r="7" spans="1:6">
      <c r="A7" s="13" t="s">
        <v>7</v>
      </c>
      <c r="B7" s="14" t="s">
        <v>698</v>
      </c>
      <c r="C7" s="14" t="s">
        <v>531</v>
      </c>
      <c r="D7" s="14" t="s">
        <v>532</v>
      </c>
      <c r="E7" s="14" t="s">
        <v>533</v>
      </c>
      <c r="F7" s="16" t="s">
        <v>695</v>
      </c>
    </row>
    <row r="8" spans="1:6">
      <c r="A8" s="13" t="s">
        <v>8</v>
      </c>
      <c r="B8" s="14" t="s">
        <v>699</v>
      </c>
      <c r="C8" s="14" t="s">
        <v>534</v>
      </c>
      <c r="D8" s="14" t="s">
        <v>535</v>
      </c>
      <c r="E8" s="14" t="s">
        <v>536</v>
      </c>
      <c r="F8" s="16" t="s">
        <v>696</v>
      </c>
    </row>
    <row r="9" spans="1:6">
      <c r="A9" s="13" t="s">
        <v>9</v>
      </c>
      <c r="B9" s="14" t="s">
        <v>700</v>
      </c>
      <c r="C9" s="14" t="s">
        <v>537</v>
      </c>
      <c r="D9" s="14" t="s">
        <v>538</v>
      </c>
      <c r="E9" s="14" t="s">
        <v>539</v>
      </c>
      <c r="F9" s="17">
        <v>1</v>
      </c>
    </row>
    <row r="10" spans="1:6">
      <c r="A10" s="18"/>
      <c r="B10" s="7"/>
      <c r="C10" s="7"/>
      <c r="D10" s="7"/>
      <c r="E10" s="7"/>
      <c r="F10" s="7"/>
    </row>
    <row r="11" spans="1:6">
      <c r="A11" s="26" t="s">
        <v>540</v>
      </c>
      <c r="B11" s="27"/>
      <c r="C11" s="27"/>
      <c r="D11" s="27"/>
      <c r="E11" s="27"/>
      <c r="F11" s="28"/>
    </row>
    <row r="12" spans="1:6">
      <c r="A12" s="9"/>
      <c r="B12" s="7"/>
      <c r="C12" s="7"/>
      <c r="D12" s="7"/>
      <c r="E12" s="7"/>
      <c r="F12" s="10"/>
    </row>
    <row r="13" spans="1:6">
      <c r="A13" s="11" t="s">
        <v>522</v>
      </c>
      <c r="B13" s="12" t="s">
        <v>523</v>
      </c>
      <c r="C13" s="12" t="s">
        <v>524</v>
      </c>
      <c r="D13" s="12" t="s">
        <v>525</v>
      </c>
      <c r="E13" s="12" t="s">
        <v>526</v>
      </c>
      <c r="F13" s="12" t="s">
        <v>527</v>
      </c>
    </row>
    <row r="14" spans="1:6">
      <c r="A14" s="13" t="s">
        <v>10</v>
      </c>
      <c r="B14" s="14" t="s">
        <v>701</v>
      </c>
      <c r="C14" s="14" t="s">
        <v>541</v>
      </c>
      <c r="D14" s="14" t="s">
        <v>542</v>
      </c>
      <c r="E14" s="14" t="s">
        <v>543</v>
      </c>
      <c r="F14" s="16" t="s">
        <v>544</v>
      </c>
    </row>
    <row r="15" spans="1:6">
      <c r="A15" s="13" t="s">
        <v>11</v>
      </c>
      <c r="B15" s="14" t="s">
        <v>702</v>
      </c>
      <c r="C15" s="14" t="s">
        <v>545</v>
      </c>
      <c r="D15" s="14" t="s">
        <v>546</v>
      </c>
      <c r="E15" s="14" t="s">
        <v>547</v>
      </c>
      <c r="F15" s="16" t="s">
        <v>548</v>
      </c>
    </row>
    <row r="16" spans="1:6">
      <c r="A16" s="13" t="s">
        <v>12</v>
      </c>
      <c r="B16" s="14" t="s">
        <v>703</v>
      </c>
      <c r="C16" s="14" t="s">
        <v>549</v>
      </c>
      <c r="D16" s="14" t="s">
        <v>550</v>
      </c>
      <c r="E16" s="14" t="s">
        <v>551</v>
      </c>
      <c r="F16" s="16" t="s">
        <v>552</v>
      </c>
    </row>
    <row r="17" spans="1:6">
      <c r="A17" s="13" t="s">
        <v>13</v>
      </c>
      <c r="B17" s="14" t="s">
        <v>704</v>
      </c>
      <c r="C17" s="14" t="s">
        <v>553</v>
      </c>
      <c r="D17" s="14" t="s">
        <v>554</v>
      </c>
      <c r="E17" s="14" t="s">
        <v>555</v>
      </c>
      <c r="F17" s="16" t="s">
        <v>556</v>
      </c>
    </row>
    <row r="18" spans="1:6">
      <c r="A18" s="13" t="s">
        <v>14</v>
      </c>
      <c r="B18" s="14" t="s">
        <v>557</v>
      </c>
      <c r="C18" s="14" t="s">
        <v>558</v>
      </c>
      <c r="D18" s="14" t="s">
        <v>559</v>
      </c>
      <c r="E18" s="14" t="s">
        <v>560</v>
      </c>
      <c r="F18" s="16" t="s">
        <v>561</v>
      </c>
    </row>
    <row r="19" spans="1:6">
      <c r="A19" s="18"/>
      <c r="B19" s="7"/>
      <c r="C19" s="7"/>
      <c r="D19" s="7"/>
      <c r="E19" s="7"/>
      <c r="F19" s="7"/>
    </row>
    <row r="20" spans="1:6">
      <c r="A20" s="26" t="s">
        <v>562</v>
      </c>
      <c r="B20" s="27"/>
      <c r="C20" s="27"/>
      <c r="D20" s="27"/>
      <c r="E20" s="27"/>
      <c r="F20" s="28"/>
    </row>
    <row r="21" spans="1:6">
      <c r="A21" s="9"/>
      <c r="B21" s="7"/>
      <c r="C21" s="7"/>
      <c r="D21" s="7"/>
      <c r="E21" s="7"/>
      <c r="F21" s="10"/>
    </row>
    <row r="22" spans="1:6">
      <c r="A22" s="11" t="s">
        <v>522</v>
      </c>
      <c r="B22" s="12" t="s">
        <v>523</v>
      </c>
      <c r="C22" s="12" t="s">
        <v>524</v>
      </c>
      <c r="D22" s="12" t="s">
        <v>525</v>
      </c>
      <c r="E22" s="12" t="s">
        <v>526</v>
      </c>
      <c r="F22" s="12" t="s">
        <v>527</v>
      </c>
    </row>
    <row r="23" spans="1:6">
      <c r="A23" s="13" t="s">
        <v>15</v>
      </c>
      <c r="B23" s="14" t="s">
        <v>705</v>
      </c>
      <c r="C23" s="14" t="s">
        <v>709</v>
      </c>
      <c r="D23" s="14" t="s">
        <v>563</v>
      </c>
      <c r="E23" s="14" t="s">
        <v>564</v>
      </c>
      <c r="F23" s="16" t="s">
        <v>565</v>
      </c>
    </row>
    <row r="24" spans="1:6" ht="25.5">
      <c r="A24" s="13" t="s">
        <v>16</v>
      </c>
      <c r="B24" s="14" t="s">
        <v>566</v>
      </c>
      <c r="C24" s="14" t="s">
        <v>710</v>
      </c>
      <c r="D24" s="14" t="s">
        <v>567</v>
      </c>
      <c r="E24" s="14" t="s">
        <v>568</v>
      </c>
      <c r="F24" s="16" t="s">
        <v>569</v>
      </c>
    </row>
    <row r="25" spans="1:6">
      <c r="A25" s="13" t="s">
        <v>17</v>
      </c>
      <c r="B25" s="14" t="s">
        <v>706</v>
      </c>
      <c r="C25" s="14" t="s">
        <v>711</v>
      </c>
      <c r="D25" s="14" t="s">
        <v>570</v>
      </c>
      <c r="E25" s="14" t="s">
        <v>571</v>
      </c>
      <c r="F25" s="16" t="s">
        <v>572</v>
      </c>
    </row>
    <row r="26" spans="1:6">
      <c r="A26" s="13" t="s">
        <v>18</v>
      </c>
      <c r="B26" s="14" t="s">
        <v>707</v>
      </c>
      <c r="C26" s="14" t="s">
        <v>712</v>
      </c>
      <c r="D26" s="14" t="s">
        <v>573</v>
      </c>
      <c r="E26" s="14" t="s">
        <v>574</v>
      </c>
      <c r="F26" s="16" t="s">
        <v>575</v>
      </c>
    </row>
    <row r="27" spans="1:6">
      <c r="A27" s="13" t="s">
        <v>19</v>
      </c>
      <c r="B27" s="20" t="s">
        <v>708</v>
      </c>
      <c r="C27" s="20" t="s">
        <v>713</v>
      </c>
      <c r="D27" s="20" t="s">
        <v>576</v>
      </c>
      <c r="E27" s="20" t="s">
        <v>577</v>
      </c>
      <c r="F27" s="20" t="s">
        <v>578</v>
      </c>
    </row>
    <row r="28" spans="1:6">
      <c r="A28" s="18"/>
      <c r="B28" s="7"/>
      <c r="C28" s="7"/>
      <c r="D28" s="7"/>
      <c r="E28" s="7"/>
      <c r="F28" s="7"/>
    </row>
    <row r="29" spans="1:6">
      <c r="A29" s="26" t="s">
        <v>579</v>
      </c>
      <c r="B29" s="27"/>
      <c r="C29" s="27"/>
      <c r="D29" s="27"/>
      <c r="E29" s="27"/>
      <c r="F29" s="28"/>
    </row>
    <row r="30" spans="1:6">
      <c r="A30" s="9"/>
      <c r="B30" s="7"/>
      <c r="C30" s="7"/>
      <c r="D30" s="7"/>
      <c r="E30" s="7"/>
      <c r="F30" s="10"/>
    </row>
    <row r="31" spans="1:6">
      <c r="A31" s="11" t="s">
        <v>522</v>
      </c>
      <c r="B31" s="12" t="s">
        <v>523</v>
      </c>
      <c r="C31" s="12" t="s">
        <v>524</v>
      </c>
      <c r="D31" s="12" t="s">
        <v>525</v>
      </c>
      <c r="E31" s="12" t="s">
        <v>526</v>
      </c>
      <c r="F31" s="22" t="s">
        <v>527</v>
      </c>
    </row>
    <row r="32" spans="1:6">
      <c r="A32" s="13" t="s">
        <v>20</v>
      </c>
      <c r="B32" s="14" t="s">
        <v>714</v>
      </c>
      <c r="C32" s="14" t="s">
        <v>717</v>
      </c>
      <c r="D32" s="14" t="s">
        <v>580</v>
      </c>
      <c r="E32" s="14" t="s">
        <v>581</v>
      </c>
      <c r="F32" s="19" t="s">
        <v>582</v>
      </c>
    </row>
    <row r="33" spans="1:6">
      <c r="A33" s="13" t="s">
        <v>21</v>
      </c>
      <c r="B33" s="14" t="s">
        <v>583</v>
      </c>
      <c r="C33" s="14" t="s">
        <v>584</v>
      </c>
      <c r="D33" s="14" t="s">
        <v>585</v>
      </c>
      <c r="E33" s="14" t="s">
        <v>586</v>
      </c>
      <c r="F33" s="19" t="s">
        <v>587</v>
      </c>
    </row>
    <row r="34" spans="1:6">
      <c r="A34" s="13" t="s">
        <v>22</v>
      </c>
      <c r="B34" s="14" t="s">
        <v>588</v>
      </c>
      <c r="C34" s="14" t="s">
        <v>718</v>
      </c>
      <c r="D34" s="14" t="s">
        <v>589</v>
      </c>
      <c r="E34" s="14" t="s">
        <v>590</v>
      </c>
      <c r="F34" s="19" t="s">
        <v>591</v>
      </c>
    </row>
    <row r="35" spans="1:6">
      <c r="A35" s="13" t="s">
        <v>23</v>
      </c>
      <c r="B35" s="20" t="s">
        <v>715</v>
      </c>
      <c r="C35" s="20" t="s">
        <v>716</v>
      </c>
      <c r="D35" s="20" t="s">
        <v>592</v>
      </c>
      <c r="E35" s="20" t="s">
        <v>593</v>
      </c>
      <c r="F35" s="21" t="s">
        <v>594</v>
      </c>
    </row>
    <row r="36" spans="1:6">
      <c r="A36" s="13" t="s">
        <v>24</v>
      </c>
      <c r="B36" s="7"/>
      <c r="C36" s="7"/>
      <c r="D36" s="7"/>
      <c r="E36" s="7"/>
      <c r="F36" s="7"/>
    </row>
    <row r="37" spans="1:6" ht="30">
      <c r="A37" s="23" t="s">
        <v>595</v>
      </c>
      <c r="B37" s="24"/>
      <c r="C37" s="24"/>
      <c r="D37" s="24"/>
      <c r="E37" s="24"/>
      <c r="F37" s="25"/>
    </row>
    <row r="38" spans="1:6">
      <c r="A38" s="9"/>
      <c r="B38" s="7"/>
      <c r="C38" s="7"/>
      <c r="D38" s="7"/>
      <c r="E38" s="7"/>
      <c r="F38" s="10"/>
    </row>
    <row r="39" spans="1:6">
      <c r="A39" s="11" t="s">
        <v>522</v>
      </c>
      <c r="B39" s="12" t="s">
        <v>523</v>
      </c>
      <c r="C39" s="12" t="s">
        <v>524</v>
      </c>
      <c r="D39" s="12" t="s">
        <v>525</v>
      </c>
      <c r="E39" s="12" t="s">
        <v>526</v>
      </c>
      <c r="F39" s="22" t="s">
        <v>527</v>
      </c>
    </row>
    <row r="40" spans="1:6">
      <c r="A40" s="13" t="s">
        <v>25</v>
      </c>
      <c r="B40" s="14" t="s">
        <v>596</v>
      </c>
      <c r="C40" s="14" t="s">
        <v>597</v>
      </c>
      <c r="D40" s="14" t="s">
        <v>598</v>
      </c>
      <c r="E40" s="14" t="s">
        <v>599</v>
      </c>
      <c r="F40" s="19" t="s">
        <v>600</v>
      </c>
    </row>
    <row r="41" spans="1:6">
      <c r="A41" s="13" t="s">
        <v>26</v>
      </c>
      <c r="B41" s="14" t="s">
        <v>601</v>
      </c>
      <c r="C41" s="14" t="s">
        <v>602</v>
      </c>
      <c r="D41" s="14" t="s">
        <v>603</v>
      </c>
      <c r="E41" s="14" t="s">
        <v>604</v>
      </c>
      <c r="F41" s="19" t="s">
        <v>605</v>
      </c>
    </row>
    <row r="42" spans="1:6">
      <c r="A42" s="13" t="s">
        <v>27</v>
      </c>
      <c r="B42" s="14" t="s">
        <v>606</v>
      </c>
      <c r="C42" s="14" t="s">
        <v>607</v>
      </c>
      <c r="D42" s="14" t="s">
        <v>608</v>
      </c>
      <c r="E42" s="14" t="s">
        <v>609</v>
      </c>
      <c r="F42" s="19" t="s">
        <v>610</v>
      </c>
    </row>
    <row r="43" spans="1:6">
      <c r="A43" s="13" t="s">
        <v>28</v>
      </c>
      <c r="B43" s="20" t="s">
        <v>611</v>
      </c>
      <c r="C43" s="20" t="s">
        <v>612</v>
      </c>
      <c r="D43" s="20" t="s">
        <v>613</v>
      </c>
      <c r="E43" s="20" t="s">
        <v>614</v>
      </c>
      <c r="F43" s="21" t="s">
        <v>615</v>
      </c>
    </row>
    <row r="44" spans="1:6">
      <c r="A44" s="13" t="s">
        <v>29</v>
      </c>
      <c r="B44" s="7"/>
      <c r="C44" s="7"/>
      <c r="D44" s="7"/>
      <c r="E44" s="7"/>
      <c r="F44" s="7"/>
    </row>
    <row r="45" spans="1:6" ht="30">
      <c r="A45" s="23" t="s">
        <v>616</v>
      </c>
      <c r="B45" s="24"/>
      <c r="C45" s="24"/>
      <c r="D45" s="24"/>
      <c r="E45" s="24"/>
      <c r="F45" s="25"/>
    </row>
    <row r="46" spans="1:6">
      <c r="A46" s="9"/>
      <c r="B46" s="7"/>
      <c r="C46" s="7"/>
      <c r="D46" s="7"/>
      <c r="E46" s="7"/>
      <c r="F46" s="10"/>
    </row>
    <row r="47" spans="1:6">
      <c r="A47" s="11" t="s">
        <v>522</v>
      </c>
      <c r="B47" s="12" t="s">
        <v>523</v>
      </c>
      <c r="C47" s="12" t="s">
        <v>524</v>
      </c>
      <c r="D47" s="12" t="s">
        <v>525</v>
      </c>
      <c r="E47" s="12" t="s">
        <v>526</v>
      </c>
      <c r="F47" s="12" t="s">
        <v>527</v>
      </c>
    </row>
    <row r="48" spans="1:6">
      <c r="A48" s="13" t="s">
        <v>30</v>
      </c>
      <c r="B48" s="14" t="s">
        <v>617</v>
      </c>
      <c r="C48" s="14" t="s">
        <v>618</v>
      </c>
      <c r="D48" s="14" t="s">
        <v>619</v>
      </c>
      <c r="E48" s="14" t="s">
        <v>620</v>
      </c>
      <c r="F48" s="16" t="s">
        <v>621</v>
      </c>
    </row>
    <row r="49" spans="1:6">
      <c r="A49" s="13" t="s">
        <v>31</v>
      </c>
      <c r="B49" s="14" t="s">
        <v>622</v>
      </c>
      <c r="C49" s="14" t="s">
        <v>623</v>
      </c>
      <c r="D49" s="14" t="s">
        <v>624</v>
      </c>
      <c r="E49" s="14" t="s">
        <v>625</v>
      </c>
      <c r="F49" s="16" t="s">
        <v>626</v>
      </c>
    </row>
    <row r="50" spans="1:6">
      <c r="A50" s="13" t="s">
        <v>32</v>
      </c>
      <c r="B50" s="14" t="s">
        <v>627</v>
      </c>
      <c r="C50" s="14" t="s">
        <v>628</v>
      </c>
      <c r="D50" s="14" t="s">
        <v>629</v>
      </c>
      <c r="E50" s="14" t="s">
        <v>630</v>
      </c>
      <c r="F50" s="16" t="s">
        <v>631</v>
      </c>
    </row>
    <row r="51" spans="1:6">
      <c r="A51" s="13" t="s">
        <v>33</v>
      </c>
      <c r="B51" s="14" t="s">
        <v>627</v>
      </c>
      <c r="C51" s="14" t="s">
        <v>628</v>
      </c>
      <c r="D51" s="14" t="s">
        <v>629</v>
      </c>
      <c r="E51" s="14" t="s">
        <v>630</v>
      </c>
      <c r="F51" s="16" t="s">
        <v>632</v>
      </c>
    </row>
    <row r="52" spans="1:6">
      <c r="A52" s="13" t="s">
        <v>34</v>
      </c>
      <c r="B52" s="14" t="s">
        <v>633</v>
      </c>
      <c r="C52" s="14" t="s">
        <v>634</v>
      </c>
      <c r="D52" s="14" t="s">
        <v>635</v>
      </c>
      <c r="E52" s="14" t="s">
        <v>636</v>
      </c>
      <c r="F52" s="16" t="s">
        <v>637</v>
      </c>
    </row>
    <row r="53" spans="1:6">
      <c r="A53" s="18"/>
      <c r="B53" s="7"/>
      <c r="C53" s="7"/>
      <c r="D53" s="7"/>
      <c r="E53" s="7"/>
      <c r="F53" s="7"/>
    </row>
    <row r="54" spans="1:6" ht="15" customHeight="1">
      <c r="A54" s="26" t="s">
        <v>638</v>
      </c>
      <c r="B54" s="27"/>
      <c r="C54" s="27"/>
      <c r="D54" s="27"/>
      <c r="E54" s="27"/>
      <c r="F54" s="28"/>
    </row>
    <row r="55" spans="1:6">
      <c r="A55" s="9"/>
      <c r="B55" s="7"/>
      <c r="C55" s="7"/>
      <c r="D55" s="7"/>
      <c r="E55" s="7"/>
      <c r="F55" s="10"/>
    </row>
    <row r="56" spans="1:6">
      <c r="A56" s="11" t="s">
        <v>522</v>
      </c>
      <c r="B56" s="12" t="s">
        <v>523</v>
      </c>
      <c r="C56" s="12" t="s">
        <v>524</v>
      </c>
      <c r="D56" s="12" t="s">
        <v>525</v>
      </c>
      <c r="E56" s="12" t="s">
        <v>526</v>
      </c>
      <c r="F56" s="12" t="s">
        <v>527</v>
      </c>
    </row>
    <row r="57" spans="1:6">
      <c r="A57" s="13" t="s">
        <v>35</v>
      </c>
      <c r="B57" s="14" t="s">
        <v>639</v>
      </c>
      <c r="C57" s="14" t="s">
        <v>640</v>
      </c>
      <c r="D57" s="14" t="s">
        <v>641</v>
      </c>
      <c r="E57" s="14" t="s">
        <v>642</v>
      </c>
      <c r="F57" s="16" t="s">
        <v>643</v>
      </c>
    </row>
    <row r="58" spans="1:6">
      <c r="A58" s="13" t="s">
        <v>36</v>
      </c>
      <c r="B58" s="14" t="s">
        <v>644</v>
      </c>
      <c r="C58" s="14" t="s">
        <v>645</v>
      </c>
      <c r="D58" s="14" t="s">
        <v>646</v>
      </c>
      <c r="E58" s="14" t="s">
        <v>647</v>
      </c>
      <c r="F58" s="16" t="s">
        <v>648</v>
      </c>
    </row>
    <row r="59" spans="1:6">
      <c r="A59" s="13" t="s">
        <v>37</v>
      </c>
      <c r="B59" s="14" t="s">
        <v>649</v>
      </c>
      <c r="C59" s="14" t="s">
        <v>650</v>
      </c>
      <c r="D59" s="14" t="s">
        <v>651</v>
      </c>
      <c r="E59" s="14" t="s">
        <v>652</v>
      </c>
      <c r="F59" s="16" t="s">
        <v>653</v>
      </c>
    </row>
    <row r="60" spans="1:6">
      <c r="A60" s="13" t="s">
        <v>38</v>
      </c>
      <c r="B60" s="14" t="s">
        <v>654</v>
      </c>
      <c r="C60" s="14" t="s">
        <v>655</v>
      </c>
      <c r="D60" s="14" t="s">
        <v>656</v>
      </c>
      <c r="E60" s="14" t="s">
        <v>657</v>
      </c>
      <c r="F60" s="16" t="s">
        <v>658</v>
      </c>
    </row>
    <row r="61" spans="1:6">
      <c r="A61" s="13" t="s">
        <v>39</v>
      </c>
      <c r="B61" s="20" t="s">
        <v>659</v>
      </c>
      <c r="C61" s="20" t="s">
        <v>660</v>
      </c>
      <c r="D61" s="20" t="s">
        <v>661</v>
      </c>
      <c r="E61" s="20" t="s">
        <v>662</v>
      </c>
      <c r="F61" s="20" t="s">
        <v>663</v>
      </c>
    </row>
    <row r="62" spans="1:6">
      <c r="A62" s="18"/>
      <c r="B62" s="7"/>
      <c r="C62" s="7"/>
      <c r="D62" s="7"/>
      <c r="E62" s="7"/>
      <c r="F62" s="7"/>
    </row>
    <row r="63" spans="1:6" ht="15" customHeight="1">
      <c r="A63" s="26" t="s">
        <v>664</v>
      </c>
      <c r="B63" s="27"/>
      <c r="C63" s="27"/>
      <c r="D63" s="27"/>
      <c r="E63" s="27"/>
      <c r="F63" s="28"/>
    </row>
    <row r="64" spans="1:6">
      <c r="A64" s="9"/>
      <c r="B64" s="7"/>
      <c r="C64" s="7"/>
      <c r="D64" s="7"/>
      <c r="E64" s="7"/>
      <c r="F64" s="10"/>
    </row>
    <row r="65" spans="1:6">
      <c r="A65" s="11" t="s">
        <v>522</v>
      </c>
      <c r="B65" s="12" t="s">
        <v>523</v>
      </c>
      <c r="C65" s="12" t="s">
        <v>524</v>
      </c>
      <c r="D65" s="12" t="s">
        <v>525</v>
      </c>
      <c r="E65" s="12" t="s">
        <v>526</v>
      </c>
      <c r="F65" s="12" t="s">
        <v>527</v>
      </c>
    </row>
    <row r="66" spans="1:6">
      <c r="A66" s="13" t="s">
        <v>40</v>
      </c>
      <c r="B66" s="14" t="s">
        <v>557</v>
      </c>
      <c r="C66" s="14" t="s">
        <v>665</v>
      </c>
      <c r="D66" s="14" t="s">
        <v>666</v>
      </c>
      <c r="E66" s="14" t="s">
        <v>667</v>
      </c>
      <c r="F66" s="16" t="s">
        <v>668</v>
      </c>
    </row>
    <row r="67" spans="1:6">
      <c r="A67" s="13" t="s">
        <v>41</v>
      </c>
      <c r="B67" s="14" t="s">
        <v>669</v>
      </c>
      <c r="C67" s="14" t="s">
        <v>670</v>
      </c>
      <c r="D67" s="14" t="s">
        <v>671</v>
      </c>
      <c r="E67" s="14" t="s">
        <v>672</v>
      </c>
      <c r="F67" s="16" t="s">
        <v>673</v>
      </c>
    </row>
    <row r="68" spans="1:6">
      <c r="A68" s="13" t="s">
        <v>42</v>
      </c>
      <c r="B68" s="14" t="s">
        <v>674</v>
      </c>
      <c r="C68" s="14" t="s">
        <v>675</v>
      </c>
      <c r="D68" s="14" t="s">
        <v>676</v>
      </c>
      <c r="E68" s="14" t="s">
        <v>677</v>
      </c>
      <c r="F68" s="16" t="s">
        <v>678</v>
      </c>
    </row>
    <row r="69" spans="1:6">
      <c r="A69" s="13" t="s">
        <v>43</v>
      </c>
      <c r="B69" s="14" t="s">
        <v>679</v>
      </c>
      <c r="C69" s="14" t="s">
        <v>680</v>
      </c>
      <c r="D69" s="14" t="s">
        <v>681</v>
      </c>
      <c r="E69" s="14" t="s">
        <v>682</v>
      </c>
      <c r="F69" s="16" t="s">
        <v>683</v>
      </c>
    </row>
    <row r="70" spans="1:6">
      <c r="A70" s="13" t="s">
        <v>44</v>
      </c>
      <c r="B70" s="20" t="s">
        <v>684</v>
      </c>
      <c r="C70" s="20" t="s">
        <v>685</v>
      </c>
      <c r="D70" s="20" t="s">
        <v>686</v>
      </c>
      <c r="E70" s="20" t="s">
        <v>687</v>
      </c>
      <c r="F70" s="20" t="s">
        <v>688</v>
      </c>
    </row>
  </sheetData>
  <pageMargins left="0.511811024" right="0.511811024" top="0.78740157499999996" bottom="0.78740157499999996" header="0.31496062000000002" footer="0.31496062000000002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FA01-719E-4E46-8BB3-BA1504EC540D}">
  <dimension ref="B1:H991"/>
  <sheetViews>
    <sheetView topLeftCell="B1" workbookViewId="0">
      <selection activeCell="D33" sqref="D33"/>
    </sheetView>
  </sheetViews>
  <sheetFormatPr defaultColWidth="12.5703125" defaultRowHeight="15"/>
  <cols>
    <col min="2" max="2" width="77.140625" bestFit="1" customWidth="1"/>
    <col min="3" max="3" width="10.28515625" customWidth="1"/>
    <col min="4" max="4" width="69.5703125" bestFit="1" customWidth="1"/>
    <col min="6" max="6" width="28.5703125" bestFit="1" customWidth="1"/>
    <col min="7" max="7" width="3.5703125" bestFit="1" customWidth="1"/>
  </cols>
  <sheetData>
    <row r="1" spans="2:8">
      <c r="D1" s="29"/>
    </row>
    <row r="2" spans="2:8">
      <c r="D2" s="29"/>
    </row>
    <row r="3" spans="2:8" ht="15.75">
      <c r="B3" s="34" t="s">
        <v>725</v>
      </c>
      <c r="C3" t="s">
        <v>734</v>
      </c>
      <c r="D3" s="30" t="s">
        <v>719</v>
      </c>
      <c r="E3" s="31"/>
      <c r="F3" s="30"/>
      <c r="G3" s="31"/>
      <c r="H3" s="31"/>
    </row>
    <row r="4" spans="2:8">
      <c r="B4" s="3" t="s">
        <v>720</v>
      </c>
      <c r="C4" s="3">
        <v>2</v>
      </c>
      <c r="D4" s="3" t="str" cm="1">
        <f t="array" ref="D4">_xlfn.IFS(C4=1,Dados!B5,C4=2,Dados!C5,C4=3,Dados!D5,C4=4,Dados!E5,C4=5,Dados!F5)</f>
        <v xml:space="preserve">Erro entre 10-20%. </v>
      </c>
      <c r="E4" s="3"/>
      <c r="F4" s="30" t="s">
        <v>725</v>
      </c>
      <c r="G4" s="32">
        <f>AVERAGE(C4:C9)</f>
        <v>3.6</v>
      </c>
    </row>
    <row r="5" spans="2:8">
      <c r="B5" s="3" t="s">
        <v>721</v>
      </c>
      <c r="C5" s="3">
        <v>4</v>
      </c>
      <c r="D5" s="3" t="str" cm="1">
        <f t="array" ref="D5">_xlfn.IFS(C5=1,Dados!B6,C5=2,Dados!C6,C5=3,Dados!D6,C5=4,Dados!E6,C5=5,Dados!F6)</f>
        <v>Erro &lt; 10%. Funcionamento robusto.</v>
      </c>
      <c r="E5" s="3"/>
      <c r="F5" s="30" t="s">
        <v>726</v>
      </c>
      <c r="G5" s="32">
        <f>AVERAGE(C13:C18)</f>
        <v>3</v>
      </c>
    </row>
    <row r="6" spans="2:8" ht="25.5">
      <c r="B6" s="3" t="s">
        <v>722</v>
      </c>
      <c r="C6" s="3">
        <v>2</v>
      </c>
      <c r="D6" s="3" t="str" cm="1">
        <f t="array" ref="D6">_xlfn.IFS(C6=1,Dados!B7,C6=2,Dados!C7,C6=3,Dados!D7,C6=4,Dados!E7,C6=5,Dados!F7)</f>
        <v>Deriva &gt; 15%. Dados das últimas semanas inutilizáveis, requer revisão de projeto.</v>
      </c>
      <c r="E6" s="3"/>
      <c r="F6" s="30" t="s">
        <v>727</v>
      </c>
      <c r="G6" s="32">
        <f>AVERAGE(C22:C26)</f>
        <v>3.4</v>
      </c>
    </row>
    <row r="7" spans="2:8">
      <c r="B7" s="3" t="s">
        <v>723</v>
      </c>
      <c r="C7" s="3">
        <v>5</v>
      </c>
      <c r="D7" s="3" t="str" cm="1">
        <f t="array" ref="D7">_xlfn.IFS(C7=1,Dados!B8,C7=2,Dados!C8,C7=3,Dados!D8,C7=4,Dados!E8,C7=5,Dados!F8)</f>
        <v xml:space="preserve">&lt; 30 s. </v>
      </c>
      <c r="E7" s="3"/>
      <c r="F7" s="30" t="s">
        <v>728</v>
      </c>
      <c r="G7" s="32">
        <f>AVERAGE(C29:C32)</f>
        <v>3.75</v>
      </c>
    </row>
    <row r="8" spans="2:8">
      <c r="B8" s="3" t="s">
        <v>724</v>
      </c>
      <c r="C8" s="3">
        <v>5</v>
      </c>
      <c r="D8" s="3" cm="1">
        <f t="array" ref="D8">_xlfn.IFS(C8=1,Dados!B9,C8=2,Dados!C9,C8=3,Dados!D9,C8=4,Dados!E9,C8=5,Dados!F9)</f>
        <v>1</v>
      </c>
      <c r="E8" s="3"/>
      <c r="F8" s="30" t="s">
        <v>729</v>
      </c>
      <c r="G8" s="32">
        <f>AVERAGE(C36:C39)</f>
        <v>1.5</v>
      </c>
    </row>
    <row r="9" spans="2:8">
      <c r="B9" s="3"/>
      <c r="C9" s="3"/>
      <c r="D9" s="3"/>
      <c r="E9" s="3"/>
      <c r="F9" s="30" t="s">
        <v>730</v>
      </c>
      <c r="G9" s="32">
        <f>AVERAGE(C43:C47)</f>
        <v>4.8</v>
      </c>
    </row>
    <row r="10" spans="2:8">
      <c r="D10" s="29"/>
      <c r="F10" s="30" t="s">
        <v>731</v>
      </c>
      <c r="G10" s="32">
        <f>AVERAGE(C50:C54)</f>
        <v>4.2</v>
      </c>
    </row>
    <row r="11" spans="2:8" ht="15.75">
      <c r="B11" s="35" t="s">
        <v>733</v>
      </c>
      <c r="C11" t="s">
        <v>735</v>
      </c>
      <c r="D11" s="30" t="s">
        <v>736</v>
      </c>
      <c r="F11" s="30" t="s">
        <v>732</v>
      </c>
      <c r="G11" s="32">
        <f>AVERAGE(C57:C61)</f>
        <v>3.4</v>
      </c>
    </row>
    <row r="12" spans="2:8" ht="15.75">
      <c r="B12" s="35" t="s">
        <v>726</v>
      </c>
      <c r="D12" s="30" t="s">
        <v>719</v>
      </c>
    </row>
    <row r="13" spans="2:8">
      <c r="B13" s="3" t="s">
        <v>720</v>
      </c>
      <c r="C13" s="3">
        <v>4</v>
      </c>
      <c r="D13" s="29" t="str" cm="1">
        <f t="array" ref="D13">_xlfn.IFS(C13=1,Dados!B14,C13=2,Dados!C14,C13=3,Dados!D14,C13=4,Dados!E14,C13=5,Dados!F14)</f>
        <v>Custo baixo, desempenho bom (robusto).</v>
      </c>
    </row>
    <row r="14" spans="2:8">
      <c r="B14" s="3" t="s">
        <v>721</v>
      </c>
      <c r="C14" s="3">
        <v>5</v>
      </c>
      <c r="D14" s="29" t="str" cm="1">
        <f t="array" ref="D14">_xlfn.IFS(C14=1,Dados!B15,C14=2,Dados!C15,C14=3,Dados!D15,C14=4,Dados!E15,C14=5,Dados!F15)</f>
        <v>Custo &lt; 10% do MVP/ano.</v>
      </c>
    </row>
    <row r="15" spans="2:8">
      <c r="B15" s="3" t="s">
        <v>722</v>
      </c>
      <c r="C15" s="3">
        <v>3</v>
      </c>
      <c r="D15" s="29" t="str" cm="1">
        <f t="array" ref="D15">_xlfn.IFS(C15=1,Dados!B16,C15=2,Dados!C16,C15=3,Dados!D16,C15=4,Dados!E16,C15=5,Dados!F16)</f>
        <v>Média de 1-2 horas/unidade (limitação de tempo).</v>
      </c>
    </row>
    <row r="16" spans="2:8">
      <c r="B16" s="3" t="s">
        <v>723</v>
      </c>
      <c r="C16" s="3">
        <v>1</v>
      </c>
      <c r="D16" s="29" t="str" cm="1">
        <f t="array" ref="D16">_xlfn.IFS(C16=1,Dados!B17,C16=2,Dados!C17,C16=3,Dados!D17,C16=4,Dados!E17,C16=5,Dados!F17)</f>
        <v>Processo artesanal, inviável de replicar.</v>
      </c>
    </row>
    <row r="17" spans="2:4">
      <c r="B17" s="3" t="s">
        <v>724</v>
      </c>
      <c r="C17" s="3">
        <v>2</v>
      </c>
      <c r="D17" s="29" t="str" cm="1">
        <f t="array" ref="D17">_xlfn.IFS(C17=1,Dados!B18,C17=2,Dados!C18,C17=3,Dados!D18,C17=4,Dados!E18,C17=5,Dados!F18)</f>
        <v>TCO 10-20% abaixo. Diferencial inadequado.</v>
      </c>
    </row>
    <row r="18" spans="2:4">
      <c r="B18" s="33"/>
      <c r="C18" s="3"/>
      <c r="D18" s="29"/>
    </row>
    <row r="19" spans="2:4">
      <c r="B19" s="4"/>
      <c r="D19" s="29"/>
    </row>
    <row r="20" spans="2:4" ht="15.75">
      <c r="B20" s="38" t="s">
        <v>733</v>
      </c>
      <c r="C20" s="36" t="s">
        <v>735</v>
      </c>
      <c r="D20" s="39" t="s">
        <v>736</v>
      </c>
    </row>
    <row r="21" spans="2:4" ht="15.75">
      <c r="B21" s="40" t="s">
        <v>727</v>
      </c>
      <c r="C21" s="37"/>
      <c r="D21" s="41" t="s">
        <v>719</v>
      </c>
    </row>
    <row r="22" spans="2:4">
      <c r="B22" s="42" t="s">
        <v>720</v>
      </c>
      <c r="C22" s="43">
        <v>1</v>
      </c>
      <c r="D22" s="44" t="str" cm="1">
        <f t="array" ref="D22">_xlfn.IFS(C22=1,Dados!B23,C22=2,Dados!C23,C22=3,Dados!D23,C22=4,Dados!E23,C22=5,Dados!F23)</f>
        <v>Erro &gt; 20%</v>
      </c>
    </row>
    <row r="23" spans="2:4" ht="26.25">
      <c r="B23" s="42" t="s">
        <v>721</v>
      </c>
      <c r="C23" s="43">
        <v>1</v>
      </c>
      <c r="D23" s="44" t="str" cm="1">
        <f t="array" ref="D23">_xlfn.IFS(C23=1,Dados!B24,C23=2,Dados!C24,C23=3,Dados!D24,C23=4,Dados!E24,C23=5,Dados!F24)</f>
        <v>Perda severa 
 (&gt; 25%), invalidou os dados.</v>
      </c>
    </row>
    <row r="24" spans="2:4">
      <c r="B24" s="42" t="s">
        <v>722</v>
      </c>
      <c r="C24" s="43">
        <v>5</v>
      </c>
      <c r="D24" s="44" t="str" cm="1">
        <f t="array" ref="D24">_xlfn.IFS(C24=1,Dados!B25,C24=2,Dados!C25,C24=3,Dados!D25,C24=4,Dados!E25,C24=5,Dados!F25)</f>
        <v>0 resets (100% estável).</v>
      </c>
    </row>
    <row r="25" spans="2:4">
      <c r="B25" s="42" t="s">
        <v>723</v>
      </c>
      <c r="C25" s="43">
        <v>5</v>
      </c>
      <c r="D25" s="44" t="str" cm="1">
        <f t="array" ref="D25">_xlfn.IFS(C25=1,Dados!B26,C25=2,Dados!C26,C25=3,Dados!D26,C25=4,Dados!E26,C25=5,Dados!F26)</f>
        <v>Recuperação rápida (&lt; 1 min).</v>
      </c>
    </row>
    <row r="26" spans="2:4">
      <c r="B26" s="45" t="s">
        <v>724</v>
      </c>
      <c r="C26" s="46">
        <v>5</v>
      </c>
      <c r="D26" s="47" t="str" cm="1">
        <f t="array" ref="D26">_xlfn.IFS(C26=1,Dados!B27,C26=2,Dados!C27,C26=3,Dados!D27,C26=4,Dados!E27,C26=5,Dados!F27)</f>
        <v>Variabilidade &lt; 2% (excelente).</v>
      </c>
    </row>
    <row r="27" spans="2:4">
      <c r="B27" s="3"/>
      <c r="C27" s="3"/>
      <c r="D27" s="29"/>
    </row>
    <row r="28" spans="2:4" ht="15.75">
      <c r="B28" s="35" t="s">
        <v>728</v>
      </c>
      <c r="C28" t="s">
        <v>733</v>
      </c>
      <c r="D28" s="30" t="s">
        <v>719</v>
      </c>
    </row>
    <row r="29" spans="2:4">
      <c r="B29" s="3" t="s">
        <v>720</v>
      </c>
      <c r="C29" s="3">
        <v>4</v>
      </c>
      <c r="D29" s="29" t="str" cm="1">
        <f t="array" ref="D29">_xlfn.IFS(C29=1,Dados!B32,C29=2,Dados!C32,C29=3,Dados!D32,C29=4,Dados!E32,C29=5,Dados!F32)</f>
        <v>30-60 min/unidade; 1 pessoa.</v>
      </c>
    </row>
    <row r="30" spans="2:4">
      <c r="B30" s="3" t="s">
        <v>721</v>
      </c>
      <c r="C30" s="3">
        <v>4</v>
      </c>
      <c r="D30" s="29" t="str" cm="1">
        <f t="array" ref="D30">_xlfn.IFS(C30=1,Dados!B33,C30=2,Dados!C33,C30=3,Dados!D33,C30=4,Dados!E33,C30=5,Dados!F33)</f>
        <v>Rápido (via app), &lt; 5 min.</v>
      </c>
    </row>
    <row r="31" spans="2:4">
      <c r="B31" s="3" t="s">
        <v>722</v>
      </c>
      <c r="C31" s="3">
        <v>5</v>
      </c>
      <c r="D31" s="29" t="str" cm="1">
        <f t="array" ref="D31">_xlfn.IFS(C31=1,Dados!B34,C31=2,Dados!C34,C31=3,Dados!D34,C31=4,Dados!E34,C31=5,Dados!F34)</f>
        <v>Usuário encontra &lt; 30 segundos (prático).</v>
      </c>
    </row>
    <row r="32" spans="2:4">
      <c r="B32" s="3" t="s">
        <v>723</v>
      </c>
      <c r="C32" s="3">
        <v>2</v>
      </c>
      <c r="D32" s="29" t="str" cm="1">
        <f t="array" ref="D32">_xlfn.IFS(C32=1,Dados!B35,C32=2,Dados!C35,C32=3,Dados!D35,C32=4,Dados!E35,C32=5,Dados!F35)</f>
        <v xml:space="preserve"> "Verde" com falha</v>
      </c>
    </row>
    <row r="33" spans="2:4">
      <c r="B33" s="3" t="s">
        <v>724</v>
      </c>
      <c r="C33" s="3">
        <v>2</v>
      </c>
      <c r="D33" s="29" cm="1">
        <f t="array" ref="D33">_xlfn.IFS(C33=1,Dados!B36,C33=2,Dados!C36,C33=3,Dados!D36,C33=4,Dados!E36,C33=5,Dados!F36)</f>
        <v>0</v>
      </c>
    </row>
    <row r="34" spans="2:4">
      <c r="B34" s="3"/>
      <c r="C34" s="3"/>
      <c r="D34" s="29"/>
    </row>
    <row r="35" spans="2:4" ht="15.75">
      <c r="B35" s="35" t="s">
        <v>729</v>
      </c>
      <c r="C35" t="s">
        <v>733</v>
      </c>
      <c r="D35" s="30" t="s">
        <v>719</v>
      </c>
    </row>
    <row r="36" spans="2:4">
      <c r="B36" s="3" t="s">
        <v>720</v>
      </c>
      <c r="C36" s="3">
        <v>1</v>
      </c>
      <c r="D36" s="29" t="str" cm="1">
        <f t="array" ref="D36">_xlfn.IFS(C36=1,Dados!B40,C36=2,Dados!C40,C36=3,Dados!D40,C36=4,Dados!E40,C36=5,Dados!F40)</f>
        <v>Uma ou mais réplicas (n=5) desligaram por falta de energia.</v>
      </c>
    </row>
    <row r="37" spans="2:4">
      <c r="B37" s="3" t="s">
        <v>721</v>
      </c>
      <c r="C37" s="3">
        <v>1</v>
      </c>
      <c r="D37" s="29" t="str" cm="1">
        <f t="array" ref="D37">_xlfn.IFS(C37=1,Dados!B41,C37=2,Dados!C41,C37=3,Dados!D41,C37=4,Dados!E41,C37=5,Dados!F41)</f>
        <v>Requer &gt; 1 dia de sol para recarga.</v>
      </c>
    </row>
    <row r="38" spans="2:4">
      <c r="B38" s="3" t="s">
        <v>722</v>
      </c>
      <c r="C38" s="3">
        <v>1</v>
      </c>
      <c r="D38" s="29" t="str" cm="1">
        <f t="array" ref="D38">_xlfn.IFS(C38=1,Dados!B42,C38=2,Dados!C42,C38=3,Dados!D42,C38=4,Dados!E42,C38=5,Dados!F42)</f>
        <v>Alto consumo (bateria &gt; 5 dias).</v>
      </c>
    </row>
    <row r="39" spans="2:4">
      <c r="B39" s="3" t="s">
        <v>723</v>
      </c>
      <c r="C39" s="3">
        <v>3</v>
      </c>
      <c r="D39" s="29" t="str" cm="1">
        <f t="array" ref="D39">_xlfn.IFS(C39=1,Dados!B43,C39=2,Dados!C43,C39=3,Dados!D43,C39=4,Dados!E43,C39=5,Dados!F43)</f>
        <v>Aceitável, mas sem margem de segurança.</v>
      </c>
    </row>
    <row r="40" spans="2:4">
      <c r="B40" s="3" t="s">
        <v>724</v>
      </c>
      <c r="D40" s="29" t="e" cm="1">
        <f t="array" ref="D40">_xlfn.IFS(C40=1,Dados!B44,C40=2,Dados!C44,C40=3,Dados!D44,C40=4,Dados!E44,C40=5,Dados!F44)</f>
        <v>#N/A</v>
      </c>
    </row>
    <row r="41" spans="2:4">
      <c r="B41" s="3"/>
      <c r="D41" s="29"/>
    </row>
    <row r="42" spans="2:4" ht="15.75">
      <c r="B42" s="35" t="s">
        <v>730</v>
      </c>
      <c r="C42" t="s">
        <v>733</v>
      </c>
      <c r="D42" s="30" t="s">
        <v>719</v>
      </c>
    </row>
    <row r="43" spans="2:4">
      <c r="B43" s="3" t="s">
        <v>720</v>
      </c>
      <c r="C43" s="3">
        <v>5</v>
      </c>
      <c r="D43" s="29" t="str" cm="1">
        <f t="array" ref="D43">_xlfn.IFS(C43=1,Dados!B48,C43=2,Dados!C48,C43=3,Dados!D48,C43=4,Dados!E48,C43=5,Dados!F48)</f>
        <v>100% seco (sem condensação).</v>
      </c>
    </row>
    <row r="44" spans="2:4">
      <c r="B44" s="3" t="s">
        <v>721</v>
      </c>
      <c r="C44" s="3">
        <v>5</v>
      </c>
      <c r="D44" s="29" t="str" cm="1">
        <f t="array" ref="D44">_xlfn.IFS(C44=1,Dados!B49,C44=2,Dados!C49,C44=3,Dados!D49,C44=4,Dados!E49,C44=5,Dados!F49)</f>
        <v>100% seco e limpo (sem poeira/insetos).</v>
      </c>
    </row>
    <row r="45" spans="2:4">
      <c r="B45" s="3" t="s">
        <v>722</v>
      </c>
      <c r="C45" s="3">
        <v>5</v>
      </c>
      <c r="D45" s="29" t="str" cm="1">
        <f t="array" ref="D45">_xlfn.IFS(C45=1,Dados!B50,C45=2,Dados!C50,C45=3,Dados!D50,C45=4,Dados!E50,C45=5,Dados!F50)</f>
        <v>Excelente estabilidade em vento/ondas.</v>
      </c>
    </row>
    <row r="46" spans="2:4">
      <c r="B46" s="3" t="s">
        <v>723</v>
      </c>
      <c r="C46" s="3">
        <v>5</v>
      </c>
      <c r="D46" s="29" t="str" cm="1">
        <f t="array" ref="D46">_xlfn.IFS(C46=1,Dados!B51,C46=2,Dados!C51,C46=3,Dados!D51,C46=4,Dados!E51,C46=5,Dados!F51)</f>
        <v>Excelente estabilidade.</v>
      </c>
    </row>
    <row r="47" spans="2:4">
      <c r="B47" s="3" t="s">
        <v>724</v>
      </c>
      <c r="C47" s="3">
        <v>4</v>
      </c>
      <c r="D47" s="29" t="str" cm="1">
        <f t="array" ref="D47">_xlfn.IFS(C47=1,Dados!B52,C47=2,Dados!C52,C47=3,Dados!D52,C47=4,Dados!E52,C47=5,Dados!F52)</f>
        <v>Componentes com pouca danificação.</v>
      </c>
    </row>
    <row r="48" spans="2:4">
      <c r="B48" s="4"/>
      <c r="D48" s="29"/>
    </row>
    <row r="49" spans="2:4" ht="15.75">
      <c r="B49" s="35" t="s">
        <v>731</v>
      </c>
      <c r="C49" t="s">
        <v>733</v>
      </c>
      <c r="D49" s="30" t="s">
        <v>719</v>
      </c>
    </row>
    <row r="50" spans="2:4">
      <c r="B50" s="3" t="s">
        <v>720</v>
      </c>
      <c r="C50" s="3">
        <v>5</v>
      </c>
      <c r="D50" s="29" t="str" cm="1">
        <f t="array" ref="D50">_xlfn.IFS(C50=1,Dados!B57,C50=2,Dados!C57,C50=3,Dados!D57,C50=4,Dados!E57,C50=5,Dados!F57)</f>
        <v>100% de integridade.</v>
      </c>
    </row>
    <row r="51" spans="2:4">
      <c r="B51" s="3" t="s">
        <v>721</v>
      </c>
      <c r="C51" s="3">
        <v>4</v>
      </c>
      <c r="D51" s="29" t="str" cm="1">
        <f t="array" ref="D51">_xlfn.IFS(C51=1,Dados!B58,C51=2,Dados!C58,C51=3,Dados!D58,C51=4,Dados!E58,C51=5,Dados!F58)</f>
        <v>30-60 segundos (robusto).</v>
      </c>
    </row>
    <row r="52" spans="2:4">
      <c r="B52" s="3" t="s">
        <v>722</v>
      </c>
      <c r="C52" s="3">
        <v>4</v>
      </c>
      <c r="D52" s="29" t="str" cm="1">
        <f t="array" ref="D52">_xlfn.IFS(C52=1,Dados!B59,C52=2,Dados!C59,C52=3,Dados!D59,C52=4,Dados!E59,C52=5,Dados!F59)</f>
        <v>0% corrompidos (robusto.</v>
      </c>
    </row>
    <row r="53" spans="2:4">
      <c r="B53" s="3" t="s">
        <v>723</v>
      </c>
      <c r="C53" s="3">
        <v>5</v>
      </c>
      <c r="D53" s="29" t="str" cm="1">
        <f t="array" ref="D53">_xlfn.IFS(C53=1,Dados!B60,C53=2,Dados!C60,C53=3,Dados!D60,C53=4,Dados!E60,C53=5,Dados!F60)</f>
        <v>APIs robustas + buffer de reenvio no firmware.</v>
      </c>
    </row>
    <row r="54" spans="2:4">
      <c r="B54" s="3" t="s">
        <v>724</v>
      </c>
      <c r="C54" s="3">
        <v>3</v>
      </c>
      <c r="D54" s="29" t="str" cm="1">
        <f t="array" ref="D54">_xlfn.IFS(C54=1,Dados!B61,C54=2,Dados!C61,C54=3,Dados!D61,C54=4,Dados!E61,C54=5,Dados!F61)</f>
        <v>Acesso local protegido; chaves em texto puro.</v>
      </c>
    </row>
    <row r="55" spans="2:4">
      <c r="B55" s="4"/>
      <c r="C55" s="5"/>
      <c r="D55" s="29"/>
    </row>
    <row r="56" spans="2:4" ht="15.75">
      <c r="B56" s="35" t="s">
        <v>732</v>
      </c>
      <c r="C56" t="s">
        <v>733</v>
      </c>
      <c r="D56" s="30" t="s">
        <v>719</v>
      </c>
    </row>
    <row r="57" spans="2:4">
      <c r="B57" s="3" t="s">
        <v>720</v>
      </c>
      <c r="C57" s="3">
        <v>1</v>
      </c>
      <c r="D57" s="29" t="str" cm="1">
        <f t="array" ref="D57">_xlfn.IFS(C57=1,Dados!B66,C57=2,Dados!C66,C57=3,Dados!D66,C57=4,Dados!E66,C57=5,Dados!F66)</f>
        <v>TCO similar ou superior aos concorrentes.</v>
      </c>
    </row>
    <row r="58" spans="2:4">
      <c r="B58" s="3" t="s">
        <v>721</v>
      </c>
      <c r="C58" s="3">
        <v>5</v>
      </c>
      <c r="D58" s="29" t="str" cm="1">
        <f t="array" ref="D58">_xlfn.IFS(C58=1,Dados!B67,C58=2,Dados!C67,C58=3,Dados!D67,C58=4,Dados!E67,C58=5,Dados!F67)</f>
        <v>Mensal ou mais (excelente).</v>
      </c>
    </row>
    <row r="59" spans="2:4">
      <c r="B59" s="3" t="s">
        <v>722</v>
      </c>
      <c r="C59" s="3">
        <v>5</v>
      </c>
      <c r="D59" s="29" t="str" cm="1">
        <f t="array" ref="D59">_xlfn.IFS(C59=1,Dados!B68,C59=2,Dados!C68,C59=3,Dados!D68,C59=4,Dados!E68,C59=5,Dados!F68)</f>
        <v>Reparo &lt; 10 min (plug-and-play).</v>
      </c>
    </row>
    <row r="60" spans="2:4">
      <c r="B60" s="3" t="s">
        <v>723</v>
      </c>
      <c r="C60" s="3">
        <v>4</v>
      </c>
      <c r="D60" s="29" t="str" cm="1">
        <f t="array" ref="D60">_xlfn.IFS(C60=1,Dados!B69,C60=2,Dados!C69,C60=3,Dados!D69,C60=4,Dados!E69,C60=5,Dados!F69)</f>
        <v>2-4 horas (robusto).</v>
      </c>
    </row>
    <row r="61" spans="2:4">
      <c r="B61" s="3" t="s">
        <v>724</v>
      </c>
      <c r="C61" s="3">
        <v>2</v>
      </c>
      <c r="D61" s="29" t="str" cm="1">
        <f t="array" ref="D61">_xlfn.IFS(C61=1,Dados!B70,C61=2,Dados!C70,C61=3,Dados!D70,C61=4,Dados!E70,C61=5,Dados!F70)</f>
        <v>Materiais inadequados (baixa vida útil).</v>
      </c>
    </row>
    <row r="62" spans="2:4">
      <c r="D62" s="29"/>
    </row>
    <row r="63" spans="2:4">
      <c r="D63" s="29"/>
    </row>
    <row r="64" spans="2:4">
      <c r="D64" s="29"/>
    </row>
    <row r="65" spans="4:4">
      <c r="D65" s="29"/>
    </row>
    <row r="66" spans="4:4">
      <c r="D66" s="29"/>
    </row>
    <row r="67" spans="4:4">
      <c r="D67" s="29"/>
    </row>
    <row r="68" spans="4:4">
      <c r="D68" s="29"/>
    </row>
    <row r="69" spans="4:4">
      <c r="D69" s="29"/>
    </row>
    <row r="70" spans="4:4">
      <c r="D70" s="29"/>
    </row>
    <row r="71" spans="4:4">
      <c r="D71" s="29"/>
    </row>
    <row r="72" spans="4:4">
      <c r="D72" s="29"/>
    </row>
    <row r="73" spans="4:4">
      <c r="D73" s="29"/>
    </row>
    <row r="74" spans="4:4">
      <c r="D74" s="29"/>
    </row>
    <row r="75" spans="4:4">
      <c r="D75" s="29"/>
    </row>
    <row r="76" spans="4:4">
      <c r="D76" s="29"/>
    </row>
    <row r="77" spans="4:4">
      <c r="D77" s="29"/>
    </row>
    <row r="78" spans="4:4">
      <c r="D78" s="29"/>
    </row>
    <row r="79" spans="4:4">
      <c r="D79" s="29"/>
    </row>
    <row r="80" spans="4:4">
      <c r="D80" s="29"/>
    </row>
    <row r="81" spans="4:4">
      <c r="D81" s="29"/>
    </row>
    <row r="82" spans="4:4">
      <c r="D82" s="29"/>
    </row>
    <row r="83" spans="4:4">
      <c r="D83" s="29"/>
    </row>
    <row r="84" spans="4:4">
      <c r="D84" s="29"/>
    </row>
    <row r="85" spans="4:4">
      <c r="D85" s="29"/>
    </row>
    <row r="86" spans="4:4">
      <c r="D86" s="29"/>
    </row>
    <row r="87" spans="4:4">
      <c r="D87" s="29"/>
    </row>
    <row r="88" spans="4:4">
      <c r="D88" s="29"/>
    </row>
    <row r="89" spans="4:4">
      <c r="D89" s="29"/>
    </row>
    <row r="90" spans="4:4">
      <c r="D90" s="29"/>
    </row>
    <row r="91" spans="4:4">
      <c r="D91" s="29"/>
    </row>
    <row r="92" spans="4:4">
      <c r="D92" s="29"/>
    </row>
    <row r="93" spans="4:4">
      <c r="D93" s="29"/>
    </row>
    <row r="94" spans="4:4">
      <c r="D94" s="29"/>
    </row>
    <row r="95" spans="4:4">
      <c r="D95" s="29"/>
    </row>
    <row r="96" spans="4:4">
      <c r="D96" s="29"/>
    </row>
    <row r="97" spans="4:4">
      <c r="D97" s="29"/>
    </row>
    <row r="98" spans="4:4">
      <c r="D98" s="29"/>
    </row>
    <row r="99" spans="4:4">
      <c r="D99" s="29"/>
    </row>
    <row r="100" spans="4:4">
      <c r="D100" s="29"/>
    </row>
    <row r="101" spans="4:4">
      <c r="D101" s="29"/>
    </row>
    <row r="102" spans="4:4">
      <c r="D102" s="29"/>
    </row>
    <row r="103" spans="4:4">
      <c r="D103" s="29"/>
    </row>
    <row r="104" spans="4:4">
      <c r="D104" s="29"/>
    </row>
    <row r="105" spans="4:4">
      <c r="D105" s="29"/>
    </row>
    <row r="106" spans="4:4">
      <c r="D106" s="29"/>
    </row>
    <row r="107" spans="4:4">
      <c r="D107" s="29"/>
    </row>
    <row r="108" spans="4:4">
      <c r="D108" s="29"/>
    </row>
    <row r="109" spans="4:4">
      <c r="D109" s="29"/>
    </row>
    <row r="110" spans="4:4">
      <c r="D110" s="29"/>
    </row>
    <row r="111" spans="4:4">
      <c r="D111" s="29"/>
    </row>
    <row r="112" spans="4:4">
      <c r="D112" s="29"/>
    </row>
    <row r="113" spans="4:4">
      <c r="D113" s="29"/>
    </row>
    <row r="114" spans="4:4">
      <c r="D114" s="29"/>
    </row>
    <row r="115" spans="4:4">
      <c r="D115" s="29"/>
    </row>
    <row r="116" spans="4:4">
      <c r="D116" s="29"/>
    </row>
    <row r="117" spans="4:4">
      <c r="D117" s="29"/>
    </row>
    <row r="118" spans="4:4">
      <c r="D118" s="29"/>
    </row>
    <row r="119" spans="4:4">
      <c r="D119" s="29"/>
    </row>
    <row r="120" spans="4:4">
      <c r="D120" s="29"/>
    </row>
    <row r="121" spans="4:4">
      <c r="D121" s="29"/>
    </row>
    <row r="122" spans="4:4">
      <c r="D122" s="29"/>
    </row>
    <row r="123" spans="4:4">
      <c r="D123" s="29"/>
    </row>
    <row r="124" spans="4:4">
      <c r="D124" s="29"/>
    </row>
    <row r="125" spans="4:4">
      <c r="D125" s="29"/>
    </row>
    <row r="126" spans="4:4">
      <c r="D126" s="29"/>
    </row>
    <row r="127" spans="4:4">
      <c r="D127" s="29"/>
    </row>
    <row r="128" spans="4:4">
      <c r="D128" s="29"/>
    </row>
    <row r="129" spans="4:4">
      <c r="D129" s="29"/>
    </row>
    <row r="130" spans="4:4">
      <c r="D130" s="29"/>
    </row>
    <row r="131" spans="4:4">
      <c r="D131" s="29"/>
    </row>
    <row r="132" spans="4:4">
      <c r="D132" s="29"/>
    </row>
    <row r="133" spans="4:4">
      <c r="D133" s="29"/>
    </row>
    <row r="134" spans="4:4">
      <c r="D134" s="29"/>
    </row>
    <row r="135" spans="4:4">
      <c r="D135" s="29"/>
    </row>
    <row r="136" spans="4:4">
      <c r="D136" s="29"/>
    </row>
    <row r="137" spans="4:4">
      <c r="D137" s="29"/>
    </row>
    <row r="138" spans="4:4">
      <c r="D138" s="29"/>
    </row>
    <row r="139" spans="4:4">
      <c r="D139" s="29"/>
    </row>
    <row r="140" spans="4:4">
      <c r="D140" s="29"/>
    </row>
    <row r="141" spans="4:4">
      <c r="D141" s="29"/>
    </row>
    <row r="142" spans="4:4">
      <c r="D142" s="29"/>
    </row>
    <row r="143" spans="4:4">
      <c r="D143" s="29"/>
    </row>
    <row r="144" spans="4:4">
      <c r="D144" s="29"/>
    </row>
    <row r="145" spans="4:4">
      <c r="D145" s="29"/>
    </row>
    <row r="146" spans="4:4">
      <c r="D146" s="29"/>
    </row>
    <row r="147" spans="4:4">
      <c r="D147" s="29"/>
    </row>
    <row r="148" spans="4:4">
      <c r="D148" s="29"/>
    </row>
    <row r="149" spans="4:4">
      <c r="D149" s="29"/>
    </row>
    <row r="150" spans="4:4">
      <c r="D150" s="29"/>
    </row>
    <row r="151" spans="4:4">
      <c r="D151" s="29"/>
    </row>
    <row r="152" spans="4:4">
      <c r="D152" s="29"/>
    </row>
    <row r="153" spans="4:4">
      <c r="D153" s="29"/>
    </row>
    <row r="154" spans="4:4">
      <c r="D154" s="29"/>
    </row>
    <row r="155" spans="4:4">
      <c r="D155" s="29"/>
    </row>
    <row r="156" spans="4:4">
      <c r="D156" s="29"/>
    </row>
    <row r="157" spans="4:4">
      <c r="D157" s="29"/>
    </row>
    <row r="158" spans="4:4">
      <c r="D158" s="29"/>
    </row>
    <row r="159" spans="4:4">
      <c r="D159" s="29"/>
    </row>
    <row r="160" spans="4:4">
      <c r="D160" s="29"/>
    </row>
    <row r="161" spans="4:4">
      <c r="D161" s="29"/>
    </row>
    <row r="162" spans="4:4">
      <c r="D162" s="29"/>
    </row>
    <row r="163" spans="4:4">
      <c r="D163" s="29"/>
    </row>
    <row r="164" spans="4:4">
      <c r="D164" s="29"/>
    </row>
    <row r="165" spans="4:4">
      <c r="D165" s="29"/>
    </row>
    <row r="166" spans="4:4">
      <c r="D166" s="29"/>
    </row>
    <row r="167" spans="4:4">
      <c r="D167" s="29"/>
    </row>
    <row r="168" spans="4:4">
      <c r="D168" s="29"/>
    </row>
    <row r="169" spans="4:4">
      <c r="D169" s="29"/>
    </row>
    <row r="170" spans="4:4">
      <c r="D170" s="29"/>
    </row>
    <row r="171" spans="4:4">
      <c r="D171" s="29"/>
    </row>
    <row r="172" spans="4:4">
      <c r="D172" s="29"/>
    </row>
    <row r="173" spans="4:4">
      <c r="D173" s="29"/>
    </row>
    <row r="174" spans="4:4">
      <c r="D174" s="29"/>
    </row>
    <row r="175" spans="4:4">
      <c r="D175" s="29"/>
    </row>
    <row r="176" spans="4:4">
      <c r="D176" s="29"/>
    </row>
    <row r="177" spans="4:4">
      <c r="D177" s="29"/>
    </row>
    <row r="178" spans="4:4">
      <c r="D178" s="29"/>
    </row>
    <row r="179" spans="4:4">
      <c r="D179" s="29"/>
    </row>
    <row r="180" spans="4:4">
      <c r="D180" s="29"/>
    </row>
    <row r="181" spans="4:4">
      <c r="D181" s="29"/>
    </row>
    <row r="182" spans="4:4">
      <c r="D182" s="29"/>
    </row>
    <row r="183" spans="4:4">
      <c r="D183" s="29"/>
    </row>
    <row r="184" spans="4:4">
      <c r="D184" s="29"/>
    </row>
    <row r="185" spans="4:4">
      <c r="D185" s="29"/>
    </row>
    <row r="186" spans="4:4">
      <c r="D186" s="29"/>
    </row>
    <row r="187" spans="4:4">
      <c r="D187" s="29"/>
    </row>
    <row r="188" spans="4:4">
      <c r="D188" s="29"/>
    </row>
    <row r="189" spans="4:4">
      <c r="D189" s="29"/>
    </row>
    <row r="190" spans="4:4">
      <c r="D190" s="29"/>
    </row>
    <row r="191" spans="4:4">
      <c r="D191" s="29"/>
    </row>
    <row r="192" spans="4:4">
      <c r="D192" s="29"/>
    </row>
    <row r="193" spans="4:4">
      <c r="D193" s="29"/>
    </row>
    <row r="194" spans="4:4">
      <c r="D194" s="29"/>
    </row>
    <row r="195" spans="4:4">
      <c r="D195" s="29"/>
    </row>
    <row r="196" spans="4:4">
      <c r="D196" s="29"/>
    </row>
    <row r="197" spans="4:4">
      <c r="D197" s="29"/>
    </row>
    <row r="198" spans="4:4">
      <c r="D198" s="29"/>
    </row>
    <row r="199" spans="4:4">
      <c r="D199" s="29"/>
    </row>
    <row r="200" spans="4:4">
      <c r="D200" s="29"/>
    </row>
    <row r="201" spans="4:4">
      <c r="D201" s="29"/>
    </row>
    <row r="202" spans="4:4">
      <c r="D202" s="29"/>
    </row>
    <row r="203" spans="4:4">
      <c r="D203" s="29"/>
    </row>
    <row r="204" spans="4:4">
      <c r="D204" s="29"/>
    </row>
    <row r="205" spans="4:4">
      <c r="D205" s="29"/>
    </row>
    <row r="206" spans="4:4">
      <c r="D206" s="29"/>
    </row>
    <row r="207" spans="4:4">
      <c r="D207" s="29"/>
    </row>
    <row r="208" spans="4:4">
      <c r="D208" s="29"/>
    </row>
    <row r="209" spans="4:4">
      <c r="D209" s="29"/>
    </row>
    <row r="210" spans="4:4">
      <c r="D210" s="29"/>
    </row>
    <row r="211" spans="4:4">
      <c r="D211" s="29"/>
    </row>
    <row r="212" spans="4:4">
      <c r="D212" s="29"/>
    </row>
    <row r="213" spans="4:4">
      <c r="D213" s="29"/>
    </row>
    <row r="214" spans="4:4">
      <c r="D214" s="29"/>
    </row>
    <row r="215" spans="4:4">
      <c r="D215" s="29"/>
    </row>
    <row r="216" spans="4:4">
      <c r="D216" s="29"/>
    </row>
    <row r="217" spans="4:4">
      <c r="D217" s="29"/>
    </row>
    <row r="218" spans="4:4">
      <c r="D218" s="29"/>
    </row>
    <row r="219" spans="4:4">
      <c r="D219" s="29"/>
    </row>
    <row r="220" spans="4:4">
      <c r="D220" s="29"/>
    </row>
    <row r="221" spans="4:4">
      <c r="D221" s="29"/>
    </row>
    <row r="222" spans="4:4">
      <c r="D222" s="29"/>
    </row>
    <row r="223" spans="4:4">
      <c r="D223" s="29"/>
    </row>
    <row r="224" spans="4:4">
      <c r="D224" s="29"/>
    </row>
    <row r="225" spans="4:4">
      <c r="D225" s="29"/>
    </row>
    <row r="226" spans="4:4">
      <c r="D226" s="29"/>
    </row>
    <row r="227" spans="4:4">
      <c r="D227" s="29"/>
    </row>
    <row r="228" spans="4:4">
      <c r="D228" s="29"/>
    </row>
    <row r="229" spans="4:4">
      <c r="D229" s="29"/>
    </row>
    <row r="230" spans="4:4">
      <c r="D230" s="29"/>
    </row>
    <row r="231" spans="4:4">
      <c r="D231" s="29"/>
    </row>
    <row r="232" spans="4:4">
      <c r="D232" s="29"/>
    </row>
    <row r="233" spans="4:4">
      <c r="D233" s="29"/>
    </row>
    <row r="234" spans="4:4">
      <c r="D234" s="29"/>
    </row>
    <row r="235" spans="4:4">
      <c r="D235" s="29"/>
    </row>
    <row r="236" spans="4:4">
      <c r="D236" s="29"/>
    </row>
    <row r="237" spans="4:4">
      <c r="D237" s="29"/>
    </row>
    <row r="238" spans="4:4">
      <c r="D238" s="29"/>
    </row>
    <row r="239" spans="4:4">
      <c r="D239" s="29"/>
    </row>
    <row r="240" spans="4:4">
      <c r="D240" s="29"/>
    </row>
    <row r="241" spans="4:4">
      <c r="D241" s="29"/>
    </row>
    <row r="242" spans="4:4">
      <c r="D242" s="29"/>
    </row>
    <row r="243" spans="4:4">
      <c r="D243" s="29"/>
    </row>
    <row r="244" spans="4:4">
      <c r="D244" s="29"/>
    </row>
    <row r="245" spans="4:4">
      <c r="D245" s="29"/>
    </row>
    <row r="246" spans="4:4">
      <c r="D246" s="29"/>
    </row>
    <row r="247" spans="4:4">
      <c r="D247" s="29"/>
    </row>
    <row r="248" spans="4:4">
      <c r="D248" s="29"/>
    </row>
    <row r="249" spans="4:4">
      <c r="D249" s="29"/>
    </row>
    <row r="250" spans="4:4">
      <c r="D250" s="29"/>
    </row>
    <row r="251" spans="4:4">
      <c r="D251" s="29"/>
    </row>
    <row r="252" spans="4:4">
      <c r="D252" s="29"/>
    </row>
    <row r="253" spans="4:4">
      <c r="D253" s="29"/>
    </row>
    <row r="254" spans="4:4">
      <c r="D254" s="29"/>
    </row>
    <row r="255" spans="4:4">
      <c r="D255" s="29"/>
    </row>
    <row r="256" spans="4:4">
      <c r="D256" s="29"/>
    </row>
    <row r="257" spans="4:4">
      <c r="D257" s="29"/>
    </row>
    <row r="258" spans="4:4">
      <c r="D258" s="29"/>
    </row>
    <row r="259" spans="4:4">
      <c r="D259" s="29"/>
    </row>
    <row r="260" spans="4:4">
      <c r="D260" s="29"/>
    </row>
    <row r="261" spans="4:4">
      <c r="D261" s="29"/>
    </row>
    <row r="262" spans="4:4">
      <c r="D262" s="29"/>
    </row>
    <row r="263" spans="4:4">
      <c r="D263" s="29"/>
    </row>
    <row r="264" spans="4:4">
      <c r="D264" s="29"/>
    </row>
    <row r="265" spans="4:4">
      <c r="D265" s="29"/>
    </row>
    <row r="266" spans="4:4">
      <c r="D266" s="29"/>
    </row>
    <row r="267" spans="4:4">
      <c r="D267" s="29"/>
    </row>
    <row r="268" spans="4:4">
      <c r="D268" s="29"/>
    </row>
    <row r="269" spans="4:4">
      <c r="D269" s="29"/>
    </row>
    <row r="270" spans="4:4">
      <c r="D270" s="29"/>
    </row>
    <row r="271" spans="4:4">
      <c r="D271" s="29"/>
    </row>
    <row r="272" spans="4:4">
      <c r="D272" s="29"/>
    </row>
    <row r="273" spans="4:4">
      <c r="D273" s="29"/>
    </row>
    <row r="274" spans="4:4">
      <c r="D274" s="29"/>
    </row>
    <row r="275" spans="4:4">
      <c r="D275" s="29"/>
    </row>
    <row r="276" spans="4:4">
      <c r="D276" s="29"/>
    </row>
    <row r="277" spans="4:4">
      <c r="D277" s="29"/>
    </row>
    <row r="278" spans="4:4">
      <c r="D278" s="29"/>
    </row>
    <row r="279" spans="4:4">
      <c r="D279" s="29"/>
    </row>
    <row r="280" spans="4:4">
      <c r="D280" s="29"/>
    </row>
    <row r="281" spans="4:4">
      <c r="D281" s="29"/>
    </row>
    <row r="282" spans="4:4">
      <c r="D282" s="29"/>
    </row>
    <row r="283" spans="4:4">
      <c r="D283" s="29"/>
    </row>
    <row r="284" spans="4:4">
      <c r="D284" s="29"/>
    </row>
    <row r="285" spans="4:4">
      <c r="D285" s="29"/>
    </row>
    <row r="286" spans="4:4">
      <c r="D286" s="29"/>
    </row>
    <row r="287" spans="4:4">
      <c r="D287" s="29"/>
    </row>
    <row r="288" spans="4:4">
      <c r="D288" s="29"/>
    </row>
    <row r="289" spans="4:4">
      <c r="D289" s="29"/>
    </row>
    <row r="290" spans="4:4">
      <c r="D290" s="29"/>
    </row>
    <row r="291" spans="4:4">
      <c r="D291" s="29"/>
    </row>
    <row r="292" spans="4:4">
      <c r="D292" s="29"/>
    </row>
    <row r="293" spans="4:4">
      <c r="D293" s="29"/>
    </row>
    <row r="294" spans="4:4">
      <c r="D294" s="29"/>
    </row>
    <row r="295" spans="4:4">
      <c r="D295" s="29"/>
    </row>
    <row r="296" spans="4:4">
      <c r="D296" s="29"/>
    </row>
    <row r="297" spans="4:4">
      <c r="D297" s="29"/>
    </row>
    <row r="298" spans="4:4">
      <c r="D298" s="29"/>
    </row>
    <row r="299" spans="4:4">
      <c r="D299" s="29"/>
    </row>
    <row r="300" spans="4:4">
      <c r="D300" s="29"/>
    </row>
    <row r="301" spans="4:4">
      <c r="D301" s="29"/>
    </row>
    <row r="302" spans="4:4">
      <c r="D302" s="29"/>
    </row>
    <row r="303" spans="4:4">
      <c r="D303" s="29"/>
    </row>
    <row r="304" spans="4:4">
      <c r="D304" s="29"/>
    </row>
    <row r="305" spans="4:4">
      <c r="D305" s="29"/>
    </row>
    <row r="306" spans="4:4">
      <c r="D306" s="29"/>
    </row>
    <row r="307" spans="4:4">
      <c r="D307" s="29"/>
    </row>
    <row r="308" spans="4:4">
      <c r="D308" s="29"/>
    </row>
    <row r="309" spans="4:4">
      <c r="D309" s="29"/>
    </row>
    <row r="310" spans="4:4">
      <c r="D310" s="29"/>
    </row>
    <row r="311" spans="4:4">
      <c r="D311" s="29"/>
    </row>
    <row r="312" spans="4:4">
      <c r="D312" s="29"/>
    </row>
    <row r="313" spans="4:4">
      <c r="D313" s="29"/>
    </row>
    <row r="314" spans="4:4">
      <c r="D314" s="29"/>
    </row>
    <row r="315" spans="4:4">
      <c r="D315" s="29"/>
    </row>
    <row r="316" spans="4:4">
      <c r="D316" s="29"/>
    </row>
    <row r="317" spans="4:4">
      <c r="D317" s="29"/>
    </row>
    <row r="318" spans="4:4">
      <c r="D318" s="29"/>
    </row>
    <row r="319" spans="4:4">
      <c r="D319" s="29"/>
    </row>
    <row r="320" spans="4:4">
      <c r="D320" s="29"/>
    </row>
    <row r="321" spans="4:4">
      <c r="D321" s="29"/>
    </row>
    <row r="322" spans="4:4">
      <c r="D322" s="29"/>
    </row>
    <row r="323" spans="4:4">
      <c r="D323" s="29"/>
    </row>
    <row r="324" spans="4:4">
      <c r="D324" s="29"/>
    </row>
    <row r="325" spans="4:4">
      <c r="D325" s="29"/>
    </row>
    <row r="326" spans="4:4">
      <c r="D326" s="29"/>
    </row>
    <row r="327" spans="4:4">
      <c r="D327" s="29"/>
    </row>
    <row r="328" spans="4:4">
      <c r="D328" s="29"/>
    </row>
    <row r="329" spans="4:4">
      <c r="D329" s="29"/>
    </row>
    <row r="330" spans="4:4">
      <c r="D330" s="29"/>
    </row>
    <row r="331" spans="4:4">
      <c r="D331" s="29"/>
    </row>
    <row r="332" spans="4:4">
      <c r="D332" s="29"/>
    </row>
    <row r="333" spans="4:4">
      <c r="D333" s="29"/>
    </row>
    <row r="334" spans="4:4">
      <c r="D334" s="29"/>
    </row>
    <row r="335" spans="4:4">
      <c r="D335" s="29"/>
    </row>
    <row r="336" spans="4:4">
      <c r="D336" s="29"/>
    </row>
    <row r="337" spans="4:4">
      <c r="D337" s="29"/>
    </row>
    <row r="338" spans="4:4">
      <c r="D338" s="29"/>
    </row>
    <row r="339" spans="4:4">
      <c r="D339" s="29"/>
    </row>
    <row r="340" spans="4:4">
      <c r="D340" s="29"/>
    </row>
    <row r="341" spans="4:4">
      <c r="D341" s="29"/>
    </row>
    <row r="342" spans="4:4">
      <c r="D342" s="29"/>
    </row>
    <row r="343" spans="4:4">
      <c r="D343" s="29"/>
    </row>
    <row r="344" spans="4:4">
      <c r="D344" s="29"/>
    </row>
    <row r="345" spans="4:4">
      <c r="D345" s="29"/>
    </row>
    <row r="346" spans="4:4">
      <c r="D346" s="29"/>
    </row>
    <row r="347" spans="4:4">
      <c r="D347" s="29"/>
    </row>
    <row r="348" spans="4:4">
      <c r="D348" s="29"/>
    </row>
    <row r="349" spans="4:4">
      <c r="D349" s="29"/>
    </row>
    <row r="350" spans="4:4">
      <c r="D350" s="29"/>
    </row>
    <row r="351" spans="4:4">
      <c r="D351" s="29"/>
    </row>
    <row r="352" spans="4:4">
      <c r="D352" s="29"/>
    </row>
    <row r="353" spans="4:4">
      <c r="D353" s="29"/>
    </row>
    <row r="354" spans="4:4">
      <c r="D354" s="29"/>
    </row>
    <row r="355" spans="4:4">
      <c r="D355" s="29"/>
    </row>
    <row r="356" spans="4:4">
      <c r="D356" s="29"/>
    </row>
    <row r="357" spans="4:4">
      <c r="D357" s="29"/>
    </row>
    <row r="358" spans="4:4">
      <c r="D358" s="29"/>
    </row>
    <row r="359" spans="4:4">
      <c r="D359" s="29"/>
    </row>
    <row r="360" spans="4:4">
      <c r="D360" s="29"/>
    </row>
    <row r="361" spans="4:4">
      <c r="D361" s="29"/>
    </row>
    <row r="362" spans="4:4">
      <c r="D362" s="29"/>
    </row>
    <row r="363" spans="4:4">
      <c r="D363" s="29"/>
    </row>
    <row r="364" spans="4:4">
      <c r="D364" s="29"/>
    </row>
    <row r="365" spans="4:4">
      <c r="D365" s="29"/>
    </row>
    <row r="366" spans="4:4">
      <c r="D366" s="29"/>
    </row>
    <row r="367" spans="4:4">
      <c r="D367" s="29"/>
    </row>
    <row r="368" spans="4:4">
      <c r="D368" s="29"/>
    </row>
    <row r="369" spans="4:4">
      <c r="D369" s="29"/>
    </row>
    <row r="370" spans="4:4">
      <c r="D370" s="29"/>
    </row>
    <row r="371" spans="4:4">
      <c r="D371" s="29"/>
    </row>
    <row r="372" spans="4:4">
      <c r="D372" s="29"/>
    </row>
    <row r="373" spans="4:4">
      <c r="D373" s="29"/>
    </row>
    <row r="374" spans="4:4">
      <c r="D374" s="29"/>
    </row>
    <row r="375" spans="4:4">
      <c r="D375" s="29"/>
    </row>
    <row r="376" spans="4:4">
      <c r="D376" s="29"/>
    </row>
    <row r="377" spans="4:4">
      <c r="D377" s="29"/>
    </row>
    <row r="378" spans="4:4">
      <c r="D378" s="29"/>
    </row>
    <row r="379" spans="4:4">
      <c r="D379" s="29"/>
    </row>
    <row r="380" spans="4:4">
      <c r="D380" s="29"/>
    </row>
    <row r="381" spans="4:4">
      <c r="D381" s="29"/>
    </row>
    <row r="382" spans="4:4">
      <c r="D382" s="29"/>
    </row>
    <row r="383" spans="4:4">
      <c r="D383" s="29"/>
    </row>
    <row r="384" spans="4:4">
      <c r="D384" s="29"/>
    </row>
    <row r="385" spans="4:4">
      <c r="D385" s="29"/>
    </row>
    <row r="386" spans="4:4">
      <c r="D386" s="29"/>
    </row>
    <row r="387" spans="4:4">
      <c r="D387" s="29"/>
    </row>
    <row r="388" spans="4:4">
      <c r="D388" s="29"/>
    </row>
    <row r="389" spans="4:4">
      <c r="D389" s="29"/>
    </row>
    <row r="390" spans="4:4">
      <c r="D390" s="29"/>
    </row>
    <row r="391" spans="4:4">
      <c r="D391" s="29"/>
    </row>
    <row r="392" spans="4:4">
      <c r="D392" s="29"/>
    </row>
    <row r="393" spans="4:4">
      <c r="D393" s="29"/>
    </row>
    <row r="394" spans="4:4">
      <c r="D394" s="29"/>
    </row>
    <row r="395" spans="4:4">
      <c r="D395" s="29"/>
    </row>
    <row r="396" spans="4:4">
      <c r="D396" s="29"/>
    </row>
    <row r="397" spans="4:4">
      <c r="D397" s="29"/>
    </row>
    <row r="398" spans="4:4">
      <c r="D398" s="29"/>
    </row>
    <row r="399" spans="4:4">
      <c r="D399" s="29"/>
    </row>
    <row r="400" spans="4:4">
      <c r="D400" s="29"/>
    </row>
    <row r="401" spans="4:4">
      <c r="D401" s="29"/>
    </row>
    <row r="402" spans="4:4">
      <c r="D402" s="29"/>
    </row>
    <row r="403" spans="4:4">
      <c r="D403" s="29"/>
    </row>
    <row r="404" spans="4:4">
      <c r="D404" s="29"/>
    </row>
    <row r="405" spans="4:4">
      <c r="D405" s="29"/>
    </row>
    <row r="406" spans="4:4">
      <c r="D406" s="29"/>
    </row>
    <row r="407" spans="4:4">
      <c r="D407" s="29"/>
    </row>
    <row r="408" spans="4:4">
      <c r="D408" s="29"/>
    </row>
    <row r="409" spans="4:4">
      <c r="D409" s="29"/>
    </row>
    <row r="410" spans="4:4">
      <c r="D410" s="29"/>
    </row>
    <row r="411" spans="4:4">
      <c r="D411" s="29"/>
    </row>
    <row r="412" spans="4:4">
      <c r="D412" s="29"/>
    </row>
    <row r="413" spans="4:4">
      <c r="D413" s="29"/>
    </row>
    <row r="414" spans="4:4">
      <c r="D414" s="29"/>
    </row>
    <row r="415" spans="4:4">
      <c r="D415" s="29"/>
    </row>
    <row r="416" spans="4:4">
      <c r="D416" s="29"/>
    </row>
    <row r="417" spans="4:4">
      <c r="D417" s="29"/>
    </row>
    <row r="418" spans="4:4">
      <c r="D418" s="29"/>
    </row>
    <row r="419" spans="4:4">
      <c r="D419" s="29"/>
    </row>
    <row r="420" spans="4:4">
      <c r="D420" s="29"/>
    </row>
    <row r="421" spans="4:4">
      <c r="D421" s="29"/>
    </row>
    <row r="422" spans="4:4">
      <c r="D422" s="29"/>
    </row>
    <row r="423" spans="4:4">
      <c r="D423" s="29"/>
    </row>
    <row r="424" spans="4:4">
      <c r="D424" s="29"/>
    </row>
    <row r="425" spans="4:4">
      <c r="D425" s="29"/>
    </row>
    <row r="426" spans="4:4">
      <c r="D426" s="29"/>
    </row>
    <row r="427" spans="4:4">
      <c r="D427" s="29"/>
    </row>
    <row r="428" spans="4:4">
      <c r="D428" s="29"/>
    </row>
    <row r="429" spans="4:4">
      <c r="D429" s="29"/>
    </row>
    <row r="430" spans="4:4">
      <c r="D430" s="29"/>
    </row>
    <row r="431" spans="4:4">
      <c r="D431" s="29"/>
    </row>
    <row r="432" spans="4:4">
      <c r="D432" s="29"/>
    </row>
    <row r="433" spans="4:4">
      <c r="D433" s="29"/>
    </row>
    <row r="434" spans="4:4">
      <c r="D434" s="29"/>
    </row>
    <row r="435" spans="4:4">
      <c r="D435" s="29"/>
    </row>
    <row r="436" spans="4:4">
      <c r="D436" s="29"/>
    </row>
    <row r="437" spans="4:4">
      <c r="D437" s="29"/>
    </row>
    <row r="438" spans="4:4">
      <c r="D438" s="29"/>
    </row>
    <row r="439" spans="4:4">
      <c r="D439" s="29"/>
    </row>
    <row r="440" spans="4:4">
      <c r="D440" s="29"/>
    </row>
    <row r="441" spans="4:4">
      <c r="D441" s="29"/>
    </row>
    <row r="442" spans="4:4">
      <c r="D442" s="29"/>
    </row>
    <row r="443" spans="4:4">
      <c r="D443" s="29"/>
    </row>
    <row r="444" spans="4:4">
      <c r="D444" s="29"/>
    </row>
    <row r="445" spans="4:4">
      <c r="D445" s="29"/>
    </row>
    <row r="446" spans="4:4">
      <c r="D446" s="29"/>
    </row>
    <row r="447" spans="4:4">
      <c r="D447" s="29"/>
    </row>
    <row r="448" spans="4:4">
      <c r="D448" s="29"/>
    </row>
    <row r="449" spans="4:4">
      <c r="D449" s="29"/>
    </row>
    <row r="450" spans="4:4">
      <c r="D450" s="29"/>
    </row>
    <row r="451" spans="4:4">
      <c r="D451" s="29"/>
    </row>
    <row r="452" spans="4:4">
      <c r="D452" s="29"/>
    </row>
    <row r="453" spans="4:4">
      <c r="D453" s="29"/>
    </row>
    <row r="454" spans="4:4">
      <c r="D454" s="29"/>
    </row>
    <row r="455" spans="4:4">
      <c r="D455" s="29"/>
    </row>
    <row r="456" spans="4:4">
      <c r="D456" s="29"/>
    </row>
    <row r="457" spans="4:4">
      <c r="D457" s="29"/>
    </row>
    <row r="458" spans="4:4">
      <c r="D458" s="29"/>
    </row>
    <row r="459" spans="4:4">
      <c r="D459" s="29"/>
    </row>
    <row r="460" spans="4:4">
      <c r="D460" s="29"/>
    </row>
    <row r="461" spans="4:4">
      <c r="D461" s="29"/>
    </row>
    <row r="462" spans="4:4">
      <c r="D462" s="29"/>
    </row>
    <row r="463" spans="4:4">
      <c r="D463" s="29"/>
    </row>
    <row r="464" spans="4:4">
      <c r="D464" s="29"/>
    </row>
    <row r="465" spans="4:4">
      <c r="D465" s="29"/>
    </row>
    <row r="466" spans="4:4">
      <c r="D466" s="29"/>
    </row>
    <row r="467" spans="4:4">
      <c r="D467" s="29"/>
    </row>
    <row r="468" spans="4:4">
      <c r="D468" s="29"/>
    </row>
    <row r="469" spans="4:4">
      <c r="D469" s="29"/>
    </row>
    <row r="470" spans="4:4">
      <c r="D470" s="29"/>
    </row>
    <row r="471" spans="4:4">
      <c r="D471" s="29"/>
    </row>
    <row r="472" spans="4:4">
      <c r="D472" s="29"/>
    </row>
    <row r="473" spans="4:4">
      <c r="D473" s="29"/>
    </row>
    <row r="474" spans="4:4">
      <c r="D474" s="29"/>
    </row>
    <row r="475" spans="4:4">
      <c r="D475" s="29"/>
    </row>
    <row r="476" spans="4:4">
      <c r="D476" s="29"/>
    </row>
    <row r="477" spans="4:4">
      <c r="D477" s="29"/>
    </row>
    <row r="478" spans="4:4">
      <c r="D478" s="29"/>
    </row>
    <row r="479" spans="4:4">
      <c r="D479" s="29"/>
    </row>
    <row r="480" spans="4:4">
      <c r="D480" s="29"/>
    </row>
    <row r="481" spans="4:4">
      <c r="D481" s="29"/>
    </row>
    <row r="482" spans="4:4">
      <c r="D482" s="29"/>
    </row>
    <row r="483" spans="4:4">
      <c r="D483" s="29"/>
    </row>
    <row r="484" spans="4:4">
      <c r="D484" s="29"/>
    </row>
    <row r="485" spans="4:4">
      <c r="D485" s="29"/>
    </row>
    <row r="486" spans="4:4">
      <c r="D486" s="29"/>
    </row>
    <row r="487" spans="4:4">
      <c r="D487" s="29"/>
    </row>
    <row r="488" spans="4:4">
      <c r="D488" s="29"/>
    </row>
    <row r="489" spans="4:4">
      <c r="D489" s="29"/>
    </row>
    <row r="490" spans="4:4">
      <c r="D490" s="29"/>
    </row>
    <row r="491" spans="4:4">
      <c r="D491" s="29"/>
    </row>
    <row r="492" spans="4:4">
      <c r="D492" s="29"/>
    </row>
    <row r="493" spans="4:4">
      <c r="D493" s="29"/>
    </row>
    <row r="494" spans="4:4">
      <c r="D494" s="29"/>
    </row>
    <row r="495" spans="4:4">
      <c r="D495" s="29"/>
    </row>
    <row r="496" spans="4:4">
      <c r="D496" s="29"/>
    </row>
    <row r="497" spans="4:4">
      <c r="D497" s="29"/>
    </row>
    <row r="498" spans="4:4">
      <c r="D498" s="29"/>
    </row>
    <row r="499" spans="4:4">
      <c r="D499" s="29"/>
    </row>
    <row r="500" spans="4:4">
      <c r="D500" s="29"/>
    </row>
    <row r="501" spans="4:4">
      <c r="D501" s="29"/>
    </row>
    <row r="502" spans="4:4">
      <c r="D502" s="29"/>
    </row>
    <row r="503" spans="4:4">
      <c r="D503" s="29"/>
    </row>
    <row r="504" spans="4:4">
      <c r="D504" s="29"/>
    </row>
    <row r="505" spans="4:4">
      <c r="D505" s="29"/>
    </row>
    <row r="506" spans="4:4">
      <c r="D506" s="29"/>
    </row>
    <row r="507" spans="4:4">
      <c r="D507" s="29"/>
    </row>
    <row r="508" spans="4:4">
      <c r="D508" s="29"/>
    </row>
    <row r="509" spans="4:4">
      <c r="D509" s="29"/>
    </row>
    <row r="510" spans="4:4">
      <c r="D510" s="29"/>
    </row>
    <row r="511" spans="4:4">
      <c r="D511" s="29"/>
    </row>
    <row r="512" spans="4:4">
      <c r="D512" s="29"/>
    </row>
    <row r="513" spans="4:4">
      <c r="D513" s="29"/>
    </row>
    <row r="514" spans="4:4">
      <c r="D514" s="29"/>
    </row>
    <row r="515" spans="4:4">
      <c r="D515" s="29"/>
    </row>
    <row r="516" spans="4:4">
      <c r="D516" s="29"/>
    </row>
    <row r="517" spans="4:4">
      <c r="D517" s="29"/>
    </row>
    <row r="518" spans="4:4">
      <c r="D518" s="29"/>
    </row>
    <row r="519" spans="4:4">
      <c r="D519" s="29"/>
    </row>
    <row r="520" spans="4:4">
      <c r="D520" s="29"/>
    </row>
    <row r="521" spans="4:4">
      <c r="D521" s="29"/>
    </row>
    <row r="522" spans="4:4">
      <c r="D522" s="29"/>
    </row>
    <row r="523" spans="4:4">
      <c r="D523" s="29"/>
    </row>
    <row r="524" spans="4:4">
      <c r="D524" s="29"/>
    </row>
    <row r="525" spans="4:4">
      <c r="D525" s="29"/>
    </row>
    <row r="526" spans="4:4">
      <c r="D526" s="29"/>
    </row>
    <row r="527" spans="4:4">
      <c r="D527" s="29"/>
    </row>
    <row r="528" spans="4:4">
      <c r="D528" s="29"/>
    </row>
    <row r="529" spans="4:4">
      <c r="D529" s="29"/>
    </row>
    <row r="530" spans="4:4">
      <c r="D530" s="29"/>
    </row>
    <row r="531" spans="4:4">
      <c r="D531" s="29"/>
    </row>
    <row r="532" spans="4:4">
      <c r="D532" s="29"/>
    </row>
    <row r="533" spans="4:4">
      <c r="D533" s="29"/>
    </row>
    <row r="534" spans="4:4">
      <c r="D534" s="29"/>
    </row>
    <row r="535" spans="4:4">
      <c r="D535" s="29"/>
    </row>
    <row r="536" spans="4:4">
      <c r="D536" s="29"/>
    </row>
    <row r="537" spans="4:4">
      <c r="D537" s="29"/>
    </row>
    <row r="538" spans="4:4">
      <c r="D538" s="29"/>
    </row>
    <row r="539" spans="4:4">
      <c r="D539" s="29"/>
    </row>
    <row r="540" spans="4:4">
      <c r="D540" s="29"/>
    </row>
    <row r="541" spans="4:4">
      <c r="D541" s="29"/>
    </row>
    <row r="542" spans="4:4">
      <c r="D542" s="29"/>
    </row>
    <row r="543" spans="4:4">
      <c r="D543" s="29"/>
    </row>
    <row r="544" spans="4:4">
      <c r="D544" s="29"/>
    </row>
    <row r="545" spans="4:4">
      <c r="D545" s="29"/>
    </row>
    <row r="546" spans="4:4">
      <c r="D546" s="29"/>
    </row>
    <row r="547" spans="4:4">
      <c r="D547" s="29"/>
    </row>
    <row r="548" spans="4:4">
      <c r="D548" s="29"/>
    </row>
    <row r="549" spans="4:4">
      <c r="D549" s="29"/>
    </row>
    <row r="550" spans="4:4">
      <c r="D550" s="29"/>
    </row>
    <row r="551" spans="4:4">
      <c r="D551" s="29"/>
    </row>
    <row r="552" spans="4:4">
      <c r="D552" s="29"/>
    </row>
    <row r="553" spans="4:4">
      <c r="D553" s="29"/>
    </row>
    <row r="554" spans="4:4">
      <c r="D554" s="29"/>
    </row>
    <row r="555" spans="4:4">
      <c r="D555" s="29"/>
    </row>
    <row r="556" spans="4:4">
      <c r="D556" s="29"/>
    </row>
    <row r="557" spans="4:4">
      <c r="D557" s="29"/>
    </row>
    <row r="558" spans="4:4">
      <c r="D558" s="29"/>
    </row>
    <row r="559" spans="4:4">
      <c r="D559" s="29"/>
    </row>
    <row r="560" spans="4:4">
      <c r="D560" s="29"/>
    </row>
    <row r="561" spans="4:4">
      <c r="D561" s="29"/>
    </row>
    <row r="562" spans="4:4">
      <c r="D562" s="29"/>
    </row>
    <row r="563" spans="4:4">
      <c r="D563" s="29"/>
    </row>
    <row r="564" spans="4:4">
      <c r="D564" s="29"/>
    </row>
    <row r="565" spans="4:4">
      <c r="D565" s="29"/>
    </row>
    <row r="566" spans="4:4">
      <c r="D566" s="29"/>
    </row>
    <row r="567" spans="4:4">
      <c r="D567" s="29"/>
    </row>
    <row r="568" spans="4:4">
      <c r="D568" s="29"/>
    </row>
    <row r="569" spans="4:4">
      <c r="D569" s="29"/>
    </row>
    <row r="570" spans="4:4">
      <c r="D570" s="29"/>
    </row>
    <row r="571" spans="4:4">
      <c r="D571" s="29"/>
    </row>
    <row r="572" spans="4:4">
      <c r="D572" s="29"/>
    </row>
    <row r="573" spans="4:4">
      <c r="D573" s="29"/>
    </row>
    <row r="574" spans="4:4">
      <c r="D574" s="29"/>
    </row>
    <row r="575" spans="4:4">
      <c r="D575" s="29"/>
    </row>
    <row r="576" spans="4:4">
      <c r="D576" s="29"/>
    </row>
    <row r="577" spans="4:4">
      <c r="D577" s="29"/>
    </row>
    <row r="578" spans="4:4">
      <c r="D578" s="29"/>
    </row>
    <row r="579" spans="4:4">
      <c r="D579" s="29"/>
    </row>
    <row r="580" spans="4:4">
      <c r="D580" s="29"/>
    </row>
    <row r="581" spans="4:4">
      <c r="D581" s="29"/>
    </row>
    <row r="582" spans="4:4">
      <c r="D582" s="29"/>
    </row>
    <row r="583" spans="4:4">
      <c r="D583" s="29"/>
    </row>
    <row r="584" spans="4:4">
      <c r="D584" s="29"/>
    </row>
    <row r="585" spans="4:4">
      <c r="D585" s="29"/>
    </row>
    <row r="586" spans="4:4">
      <c r="D586" s="29"/>
    </row>
    <row r="587" spans="4:4">
      <c r="D587" s="29"/>
    </row>
    <row r="588" spans="4:4">
      <c r="D588" s="29"/>
    </row>
    <row r="589" spans="4:4">
      <c r="D589" s="29"/>
    </row>
    <row r="590" spans="4:4">
      <c r="D590" s="29"/>
    </row>
    <row r="591" spans="4:4">
      <c r="D591" s="29"/>
    </row>
    <row r="592" spans="4:4">
      <c r="D592" s="29"/>
    </row>
    <row r="593" spans="4:4">
      <c r="D593" s="29"/>
    </row>
    <row r="594" spans="4:4">
      <c r="D594" s="29"/>
    </row>
    <row r="595" spans="4:4">
      <c r="D595" s="29"/>
    </row>
    <row r="596" spans="4:4">
      <c r="D596" s="29"/>
    </row>
    <row r="597" spans="4:4">
      <c r="D597" s="29"/>
    </row>
    <row r="598" spans="4:4">
      <c r="D598" s="29"/>
    </row>
    <row r="599" spans="4:4">
      <c r="D599" s="29"/>
    </row>
    <row r="600" spans="4:4">
      <c r="D600" s="29"/>
    </row>
    <row r="601" spans="4:4">
      <c r="D601" s="29"/>
    </row>
    <row r="602" spans="4:4">
      <c r="D602" s="29"/>
    </row>
    <row r="603" spans="4:4">
      <c r="D603" s="29"/>
    </row>
    <row r="604" spans="4:4">
      <c r="D604" s="29"/>
    </row>
    <row r="605" spans="4:4">
      <c r="D605" s="29"/>
    </row>
    <row r="606" spans="4:4">
      <c r="D606" s="29"/>
    </row>
    <row r="607" spans="4:4">
      <c r="D607" s="29"/>
    </row>
    <row r="608" spans="4:4">
      <c r="D608" s="29"/>
    </row>
    <row r="609" spans="4:4">
      <c r="D609" s="29"/>
    </row>
    <row r="610" spans="4:4">
      <c r="D610" s="29"/>
    </row>
    <row r="611" spans="4:4">
      <c r="D611" s="29"/>
    </row>
    <row r="612" spans="4:4">
      <c r="D612" s="29"/>
    </row>
    <row r="613" spans="4:4">
      <c r="D613" s="29"/>
    </row>
    <row r="614" spans="4:4">
      <c r="D614" s="29"/>
    </row>
    <row r="615" spans="4:4">
      <c r="D615" s="29"/>
    </row>
    <row r="616" spans="4:4">
      <c r="D616" s="29"/>
    </row>
    <row r="617" spans="4:4">
      <c r="D617" s="29"/>
    </row>
    <row r="618" spans="4:4">
      <c r="D618" s="29"/>
    </row>
    <row r="619" spans="4:4">
      <c r="D619" s="29"/>
    </row>
    <row r="620" spans="4:4">
      <c r="D620" s="29"/>
    </row>
    <row r="621" spans="4:4">
      <c r="D621" s="29"/>
    </row>
    <row r="622" spans="4:4">
      <c r="D622" s="29"/>
    </row>
    <row r="623" spans="4:4">
      <c r="D623" s="29"/>
    </row>
    <row r="624" spans="4:4">
      <c r="D624" s="29"/>
    </row>
    <row r="625" spans="4:4">
      <c r="D625" s="29"/>
    </row>
    <row r="626" spans="4:4">
      <c r="D626" s="29"/>
    </row>
    <row r="627" spans="4:4">
      <c r="D627" s="29"/>
    </row>
    <row r="628" spans="4:4">
      <c r="D628" s="29"/>
    </row>
    <row r="629" spans="4:4">
      <c r="D629" s="29"/>
    </row>
    <row r="630" spans="4:4">
      <c r="D630" s="29"/>
    </row>
    <row r="631" spans="4:4">
      <c r="D631" s="29"/>
    </row>
    <row r="632" spans="4:4">
      <c r="D632" s="29"/>
    </row>
    <row r="633" spans="4:4">
      <c r="D633" s="29"/>
    </row>
    <row r="634" spans="4:4">
      <c r="D634" s="29"/>
    </row>
    <row r="635" spans="4:4">
      <c r="D635" s="29"/>
    </row>
    <row r="636" spans="4:4">
      <c r="D636" s="29"/>
    </row>
    <row r="637" spans="4:4">
      <c r="D637" s="29"/>
    </row>
    <row r="638" spans="4:4">
      <c r="D638" s="29"/>
    </row>
    <row r="639" spans="4:4">
      <c r="D639" s="29"/>
    </row>
    <row r="640" spans="4:4">
      <c r="D640" s="29"/>
    </row>
    <row r="641" spans="4:4">
      <c r="D641" s="29"/>
    </row>
    <row r="642" spans="4:4">
      <c r="D642" s="29"/>
    </row>
    <row r="643" spans="4:4">
      <c r="D643" s="29"/>
    </row>
    <row r="644" spans="4:4">
      <c r="D644" s="29"/>
    </row>
    <row r="645" spans="4:4">
      <c r="D645" s="29"/>
    </row>
    <row r="646" spans="4:4">
      <c r="D646" s="29"/>
    </row>
    <row r="647" spans="4:4">
      <c r="D647" s="29"/>
    </row>
    <row r="648" spans="4:4">
      <c r="D648" s="29"/>
    </row>
    <row r="649" spans="4:4">
      <c r="D649" s="29"/>
    </row>
    <row r="650" spans="4:4">
      <c r="D650" s="29"/>
    </row>
    <row r="651" spans="4:4">
      <c r="D651" s="29"/>
    </row>
    <row r="652" spans="4:4">
      <c r="D652" s="29"/>
    </row>
    <row r="653" spans="4:4">
      <c r="D653" s="29"/>
    </row>
    <row r="654" spans="4:4">
      <c r="D654" s="29"/>
    </row>
    <row r="655" spans="4:4">
      <c r="D655" s="29"/>
    </row>
    <row r="656" spans="4:4">
      <c r="D656" s="29"/>
    </row>
    <row r="657" spans="4:4">
      <c r="D657" s="29"/>
    </row>
    <row r="658" spans="4:4">
      <c r="D658" s="29"/>
    </row>
    <row r="659" spans="4:4">
      <c r="D659" s="29"/>
    </row>
    <row r="660" spans="4:4">
      <c r="D660" s="29"/>
    </row>
    <row r="661" spans="4:4">
      <c r="D661" s="29"/>
    </row>
    <row r="662" spans="4:4">
      <c r="D662" s="29"/>
    </row>
    <row r="663" spans="4:4">
      <c r="D663" s="29"/>
    </row>
    <row r="664" spans="4:4">
      <c r="D664" s="29"/>
    </row>
    <row r="665" spans="4:4">
      <c r="D665" s="29"/>
    </row>
    <row r="666" spans="4:4">
      <c r="D666" s="29"/>
    </row>
    <row r="667" spans="4:4">
      <c r="D667" s="29"/>
    </row>
    <row r="668" spans="4:4">
      <c r="D668" s="29"/>
    </row>
    <row r="669" spans="4:4">
      <c r="D669" s="29"/>
    </row>
    <row r="670" spans="4:4">
      <c r="D670" s="29"/>
    </row>
    <row r="671" spans="4:4">
      <c r="D671" s="29"/>
    </row>
    <row r="672" spans="4:4">
      <c r="D672" s="29"/>
    </row>
    <row r="673" spans="4:4">
      <c r="D673" s="29"/>
    </row>
    <row r="674" spans="4:4">
      <c r="D674" s="29"/>
    </row>
    <row r="675" spans="4:4">
      <c r="D675" s="29"/>
    </row>
    <row r="676" spans="4:4">
      <c r="D676" s="29"/>
    </row>
    <row r="677" spans="4:4">
      <c r="D677" s="29"/>
    </row>
    <row r="678" spans="4:4">
      <c r="D678" s="29"/>
    </row>
    <row r="679" spans="4:4">
      <c r="D679" s="29"/>
    </row>
    <row r="680" spans="4:4">
      <c r="D680" s="29"/>
    </row>
    <row r="681" spans="4:4">
      <c r="D681" s="29"/>
    </row>
    <row r="682" spans="4:4">
      <c r="D682" s="29"/>
    </row>
    <row r="683" spans="4:4">
      <c r="D683" s="29"/>
    </row>
    <row r="684" spans="4:4">
      <c r="D684" s="29"/>
    </row>
    <row r="685" spans="4:4">
      <c r="D685" s="29"/>
    </row>
    <row r="686" spans="4:4">
      <c r="D686" s="29"/>
    </row>
    <row r="687" spans="4:4">
      <c r="D687" s="29"/>
    </row>
    <row r="688" spans="4:4">
      <c r="D688" s="29"/>
    </row>
    <row r="689" spans="4:4">
      <c r="D689" s="29"/>
    </row>
    <row r="690" spans="4:4">
      <c r="D690" s="29"/>
    </row>
    <row r="691" spans="4:4">
      <c r="D691" s="29"/>
    </row>
    <row r="692" spans="4:4">
      <c r="D692" s="29"/>
    </row>
    <row r="693" spans="4:4">
      <c r="D693" s="29"/>
    </row>
    <row r="694" spans="4:4">
      <c r="D694" s="29"/>
    </row>
    <row r="695" spans="4:4">
      <c r="D695" s="29"/>
    </row>
    <row r="696" spans="4:4">
      <c r="D696" s="29"/>
    </row>
    <row r="697" spans="4:4">
      <c r="D697" s="29"/>
    </row>
    <row r="698" spans="4:4">
      <c r="D698" s="29"/>
    </row>
    <row r="699" spans="4:4">
      <c r="D699" s="29"/>
    </row>
    <row r="700" spans="4:4">
      <c r="D700" s="29"/>
    </row>
    <row r="701" spans="4:4">
      <c r="D701" s="29"/>
    </row>
    <row r="702" spans="4:4">
      <c r="D702" s="29"/>
    </row>
    <row r="703" spans="4:4">
      <c r="D703" s="29"/>
    </row>
    <row r="704" spans="4:4">
      <c r="D704" s="29"/>
    </row>
    <row r="705" spans="4:4">
      <c r="D705" s="29"/>
    </row>
    <row r="706" spans="4:4">
      <c r="D706" s="29"/>
    </row>
    <row r="707" spans="4:4">
      <c r="D707" s="29"/>
    </row>
    <row r="708" spans="4:4">
      <c r="D708" s="29"/>
    </row>
    <row r="709" spans="4:4">
      <c r="D709" s="29"/>
    </row>
    <row r="710" spans="4:4">
      <c r="D710" s="29"/>
    </row>
    <row r="711" spans="4:4">
      <c r="D711" s="29"/>
    </row>
    <row r="712" spans="4:4">
      <c r="D712" s="29"/>
    </row>
    <row r="713" spans="4:4">
      <c r="D713" s="29"/>
    </row>
    <row r="714" spans="4:4">
      <c r="D714" s="29"/>
    </row>
    <row r="715" spans="4:4">
      <c r="D715" s="29"/>
    </row>
    <row r="716" spans="4:4">
      <c r="D716" s="29"/>
    </row>
    <row r="717" spans="4:4">
      <c r="D717" s="29"/>
    </row>
    <row r="718" spans="4:4">
      <c r="D718" s="29"/>
    </row>
    <row r="719" spans="4:4">
      <c r="D719" s="29"/>
    </row>
    <row r="720" spans="4:4">
      <c r="D720" s="29"/>
    </row>
    <row r="721" spans="4:4">
      <c r="D721" s="29"/>
    </row>
    <row r="722" spans="4:4">
      <c r="D722" s="29"/>
    </row>
    <row r="723" spans="4:4">
      <c r="D723" s="29"/>
    </row>
    <row r="724" spans="4:4">
      <c r="D724" s="29"/>
    </row>
    <row r="725" spans="4:4">
      <c r="D725" s="29"/>
    </row>
    <row r="726" spans="4:4">
      <c r="D726" s="29"/>
    </row>
    <row r="727" spans="4:4">
      <c r="D727" s="29"/>
    </row>
    <row r="728" spans="4:4">
      <c r="D728" s="29"/>
    </row>
    <row r="729" spans="4:4">
      <c r="D729" s="29"/>
    </row>
    <row r="730" spans="4:4">
      <c r="D730" s="29"/>
    </row>
    <row r="731" spans="4:4">
      <c r="D731" s="29"/>
    </row>
    <row r="732" spans="4:4">
      <c r="D732" s="29"/>
    </row>
    <row r="733" spans="4:4">
      <c r="D733" s="29"/>
    </row>
    <row r="734" spans="4:4">
      <c r="D734" s="29"/>
    </row>
    <row r="735" spans="4:4">
      <c r="D735" s="29"/>
    </row>
    <row r="736" spans="4:4">
      <c r="D736" s="29"/>
    </row>
    <row r="737" spans="4:4">
      <c r="D737" s="29"/>
    </row>
    <row r="738" spans="4:4">
      <c r="D738" s="29"/>
    </row>
    <row r="739" spans="4:4">
      <c r="D739" s="29"/>
    </row>
    <row r="740" spans="4:4">
      <c r="D740" s="29"/>
    </row>
    <row r="741" spans="4:4">
      <c r="D741" s="29"/>
    </row>
    <row r="742" spans="4:4">
      <c r="D742" s="29"/>
    </row>
    <row r="743" spans="4:4">
      <c r="D743" s="29"/>
    </row>
    <row r="744" spans="4:4">
      <c r="D744" s="29"/>
    </row>
    <row r="745" spans="4:4">
      <c r="D745" s="29"/>
    </row>
    <row r="746" spans="4:4">
      <c r="D746" s="29"/>
    </row>
    <row r="747" spans="4:4">
      <c r="D747" s="29"/>
    </row>
    <row r="748" spans="4:4">
      <c r="D748" s="29"/>
    </row>
    <row r="749" spans="4:4">
      <c r="D749" s="29"/>
    </row>
    <row r="750" spans="4:4">
      <c r="D750" s="29"/>
    </row>
    <row r="751" spans="4:4">
      <c r="D751" s="29"/>
    </row>
    <row r="752" spans="4:4">
      <c r="D752" s="29"/>
    </row>
    <row r="753" spans="4:4">
      <c r="D753" s="29"/>
    </row>
    <row r="754" spans="4:4">
      <c r="D754" s="29"/>
    </row>
    <row r="755" spans="4:4">
      <c r="D755" s="29"/>
    </row>
    <row r="756" spans="4:4">
      <c r="D756" s="29"/>
    </row>
    <row r="757" spans="4:4">
      <c r="D757" s="29"/>
    </row>
    <row r="758" spans="4:4">
      <c r="D758" s="29"/>
    </row>
    <row r="759" spans="4:4">
      <c r="D759" s="29"/>
    </row>
    <row r="760" spans="4:4">
      <c r="D760" s="29"/>
    </row>
    <row r="761" spans="4:4">
      <c r="D761" s="29"/>
    </row>
    <row r="762" spans="4:4">
      <c r="D762" s="29"/>
    </row>
    <row r="763" spans="4:4">
      <c r="D763" s="29"/>
    </row>
    <row r="764" spans="4:4">
      <c r="D764" s="29"/>
    </row>
    <row r="765" spans="4:4">
      <c r="D765" s="29"/>
    </row>
    <row r="766" spans="4:4">
      <c r="D766" s="29"/>
    </row>
    <row r="767" spans="4:4">
      <c r="D767" s="29"/>
    </row>
    <row r="768" spans="4:4">
      <c r="D768" s="29"/>
    </row>
    <row r="769" spans="4:4">
      <c r="D769" s="29"/>
    </row>
    <row r="770" spans="4:4">
      <c r="D770" s="29"/>
    </row>
    <row r="771" spans="4:4">
      <c r="D771" s="29"/>
    </row>
    <row r="772" spans="4:4">
      <c r="D772" s="29"/>
    </row>
    <row r="773" spans="4:4">
      <c r="D773" s="29"/>
    </row>
    <row r="774" spans="4:4">
      <c r="D774" s="29"/>
    </row>
    <row r="775" spans="4:4">
      <c r="D775" s="29"/>
    </row>
    <row r="776" spans="4:4">
      <c r="D776" s="29"/>
    </row>
    <row r="777" spans="4:4">
      <c r="D777" s="29"/>
    </row>
    <row r="778" spans="4:4">
      <c r="D778" s="29"/>
    </row>
    <row r="779" spans="4:4">
      <c r="D779" s="29"/>
    </row>
    <row r="780" spans="4:4">
      <c r="D780" s="29"/>
    </row>
    <row r="781" spans="4:4">
      <c r="D781" s="29"/>
    </row>
    <row r="782" spans="4:4">
      <c r="D782" s="29"/>
    </row>
    <row r="783" spans="4:4">
      <c r="D783" s="29"/>
    </row>
    <row r="784" spans="4:4">
      <c r="D784" s="29"/>
    </row>
    <row r="785" spans="4:4">
      <c r="D785" s="29"/>
    </row>
    <row r="786" spans="4:4">
      <c r="D786" s="29"/>
    </row>
    <row r="787" spans="4:4">
      <c r="D787" s="29"/>
    </row>
    <row r="788" spans="4:4">
      <c r="D788" s="29"/>
    </row>
    <row r="789" spans="4:4">
      <c r="D789" s="29"/>
    </row>
    <row r="790" spans="4:4">
      <c r="D790" s="29"/>
    </row>
    <row r="791" spans="4:4">
      <c r="D791" s="29"/>
    </row>
    <row r="792" spans="4:4">
      <c r="D792" s="29"/>
    </row>
    <row r="793" spans="4:4">
      <c r="D793" s="29"/>
    </row>
    <row r="794" spans="4:4">
      <c r="D794" s="29"/>
    </row>
    <row r="795" spans="4:4">
      <c r="D795" s="29"/>
    </row>
    <row r="796" spans="4:4">
      <c r="D796" s="29"/>
    </row>
    <row r="797" spans="4:4">
      <c r="D797" s="29"/>
    </row>
    <row r="798" spans="4:4">
      <c r="D798" s="29"/>
    </row>
    <row r="799" spans="4:4">
      <c r="D799" s="29"/>
    </row>
    <row r="800" spans="4:4">
      <c r="D800" s="29"/>
    </row>
    <row r="801" spans="4:4">
      <c r="D801" s="29"/>
    </row>
    <row r="802" spans="4:4">
      <c r="D802" s="29"/>
    </row>
    <row r="803" spans="4:4">
      <c r="D803" s="29"/>
    </row>
    <row r="804" spans="4:4">
      <c r="D804" s="29"/>
    </row>
    <row r="805" spans="4:4">
      <c r="D805" s="29"/>
    </row>
    <row r="806" spans="4:4">
      <c r="D806" s="29"/>
    </row>
    <row r="807" spans="4:4">
      <c r="D807" s="29"/>
    </row>
    <row r="808" spans="4:4">
      <c r="D808" s="29"/>
    </row>
    <row r="809" spans="4:4">
      <c r="D809" s="29"/>
    </row>
    <row r="810" spans="4:4">
      <c r="D810" s="29"/>
    </row>
    <row r="811" spans="4:4">
      <c r="D811" s="29"/>
    </row>
    <row r="812" spans="4:4">
      <c r="D812" s="29"/>
    </row>
    <row r="813" spans="4:4">
      <c r="D813" s="29"/>
    </row>
    <row r="814" spans="4:4">
      <c r="D814" s="29"/>
    </row>
    <row r="815" spans="4:4">
      <c r="D815" s="29"/>
    </row>
    <row r="816" spans="4:4">
      <c r="D816" s="29"/>
    </row>
    <row r="817" spans="4:4">
      <c r="D817" s="29"/>
    </row>
    <row r="818" spans="4:4">
      <c r="D818" s="29"/>
    </row>
    <row r="819" spans="4:4">
      <c r="D819" s="29"/>
    </row>
    <row r="820" spans="4:4">
      <c r="D820" s="29"/>
    </row>
    <row r="821" spans="4:4">
      <c r="D821" s="29"/>
    </row>
    <row r="822" spans="4:4">
      <c r="D822" s="29"/>
    </row>
    <row r="823" spans="4:4">
      <c r="D823" s="29"/>
    </row>
    <row r="824" spans="4:4">
      <c r="D824" s="29"/>
    </row>
    <row r="825" spans="4:4">
      <c r="D825" s="29"/>
    </row>
    <row r="826" spans="4:4">
      <c r="D826" s="29"/>
    </row>
    <row r="827" spans="4:4">
      <c r="D827" s="29"/>
    </row>
    <row r="828" spans="4:4">
      <c r="D828" s="29"/>
    </row>
    <row r="829" spans="4:4">
      <c r="D829" s="29"/>
    </row>
    <row r="830" spans="4:4">
      <c r="D830" s="29"/>
    </row>
    <row r="831" spans="4:4">
      <c r="D831" s="29"/>
    </row>
    <row r="832" spans="4:4">
      <c r="D832" s="29"/>
    </row>
    <row r="833" spans="4:4">
      <c r="D833" s="29"/>
    </row>
    <row r="834" spans="4:4">
      <c r="D834" s="29"/>
    </row>
    <row r="835" spans="4:4">
      <c r="D835" s="29"/>
    </row>
    <row r="836" spans="4:4">
      <c r="D836" s="29"/>
    </row>
    <row r="837" spans="4:4">
      <c r="D837" s="29"/>
    </row>
    <row r="838" spans="4:4">
      <c r="D838" s="29"/>
    </row>
    <row r="839" spans="4:4">
      <c r="D839" s="29"/>
    </row>
    <row r="840" spans="4:4">
      <c r="D840" s="29"/>
    </row>
    <row r="841" spans="4:4">
      <c r="D841" s="29"/>
    </row>
    <row r="842" spans="4:4">
      <c r="D842" s="29"/>
    </row>
    <row r="843" spans="4:4">
      <c r="D843" s="29"/>
    </row>
    <row r="844" spans="4:4">
      <c r="D844" s="29"/>
    </row>
    <row r="845" spans="4:4">
      <c r="D845" s="29"/>
    </row>
    <row r="846" spans="4:4">
      <c r="D846" s="29"/>
    </row>
    <row r="847" spans="4:4">
      <c r="D847" s="29"/>
    </row>
    <row r="848" spans="4:4">
      <c r="D848" s="29"/>
    </row>
    <row r="849" spans="4:4">
      <c r="D849" s="29"/>
    </row>
    <row r="850" spans="4:4">
      <c r="D850" s="29"/>
    </row>
    <row r="851" spans="4:4">
      <c r="D851" s="29"/>
    </row>
    <row r="852" spans="4:4">
      <c r="D852" s="29"/>
    </row>
    <row r="853" spans="4:4">
      <c r="D853" s="29"/>
    </row>
    <row r="854" spans="4:4">
      <c r="D854" s="29"/>
    </row>
    <row r="855" spans="4:4">
      <c r="D855" s="29"/>
    </row>
    <row r="856" spans="4:4">
      <c r="D856" s="29"/>
    </row>
    <row r="857" spans="4:4">
      <c r="D857" s="29"/>
    </row>
    <row r="858" spans="4:4">
      <c r="D858" s="29"/>
    </row>
    <row r="859" spans="4:4">
      <c r="D859" s="29"/>
    </row>
    <row r="860" spans="4:4">
      <c r="D860" s="29"/>
    </row>
    <row r="861" spans="4:4">
      <c r="D861" s="29"/>
    </row>
    <row r="862" spans="4:4">
      <c r="D862" s="29"/>
    </row>
    <row r="863" spans="4:4">
      <c r="D863" s="29"/>
    </row>
    <row r="864" spans="4:4">
      <c r="D864" s="29"/>
    </row>
    <row r="865" spans="4:4">
      <c r="D865" s="29"/>
    </row>
    <row r="866" spans="4:4">
      <c r="D866" s="29"/>
    </row>
    <row r="867" spans="4:4">
      <c r="D867" s="29"/>
    </row>
    <row r="868" spans="4:4">
      <c r="D868" s="29"/>
    </row>
    <row r="869" spans="4:4">
      <c r="D869" s="29"/>
    </row>
    <row r="870" spans="4:4">
      <c r="D870" s="29"/>
    </row>
    <row r="871" spans="4:4">
      <c r="D871" s="29"/>
    </row>
    <row r="872" spans="4:4">
      <c r="D872" s="29"/>
    </row>
    <row r="873" spans="4:4">
      <c r="D873" s="29"/>
    </row>
    <row r="874" spans="4:4">
      <c r="D874" s="29"/>
    </row>
    <row r="875" spans="4:4">
      <c r="D875" s="29"/>
    </row>
    <row r="876" spans="4:4">
      <c r="D876" s="29"/>
    </row>
    <row r="877" spans="4:4">
      <c r="D877" s="29"/>
    </row>
    <row r="878" spans="4:4">
      <c r="D878" s="29"/>
    </row>
    <row r="879" spans="4:4">
      <c r="D879" s="29"/>
    </row>
    <row r="880" spans="4:4">
      <c r="D880" s="29"/>
    </row>
    <row r="881" spans="4:4">
      <c r="D881" s="29"/>
    </row>
    <row r="882" spans="4:4">
      <c r="D882" s="29"/>
    </row>
    <row r="883" spans="4:4">
      <c r="D883" s="29"/>
    </row>
    <row r="884" spans="4:4">
      <c r="D884" s="29"/>
    </row>
    <row r="885" spans="4:4">
      <c r="D885" s="29"/>
    </row>
    <row r="886" spans="4:4">
      <c r="D886" s="29"/>
    </row>
    <row r="887" spans="4:4">
      <c r="D887" s="29"/>
    </row>
    <row r="888" spans="4:4">
      <c r="D888" s="29"/>
    </row>
    <row r="889" spans="4:4">
      <c r="D889" s="29"/>
    </row>
    <row r="890" spans="4:4">
      <c r="D890" s="29"/>
    </row>
    <row r="891" spans="4:4">
      <c r="D891" s="29"/>
    </row>
    <row r="892" spans="4:4">
      <c r="D892" s="29"/>
    </row>
    <row r="893" spans="4:4">
      <c r="D893" s="29"/>
    </row>
    <row r="894" spans="4:4">
      <c r="D894" s="29"/>
    </row>
    <row r="895" spans="4:4">
      <c r="D895" s="29"/>
    </row>
    <row r="896" spans="4:4">
      <c r="D896" s="29"/>
    </row>
    <row r="897" spans="4:4">
      <c r="D897" s="29"/>
    </row>
    <row r="898" spans="4:4">
      <c r="D898" s="29"/>
    </row>
    <row r="899" spans="4:4">
      <c r="D899" s="29"/>
    </row>
    <row r="900" spans="4:4">
      <c r="D900" s="29"/>
    </row>
    <row r="901" spans="4:4">
      <c r="D901" s="29"/>
    </row>
    <row r="902" spans="4:4">
      <c r="D902" s="29"/>
    </row>
    <row r="903" spans="4:4">
      <c r="D903" s="29"/>
    </row>
    <row r="904" spans="4:4">
      <c r="D904" s="29"/>
    </row>
    <row r="905" spans="4:4">
      <c r="D905" s="29"/>
    </row>
    <row r="906" spans="4:4">
      <c r="D906" s="29"/>
    </row>
    <row r="907" spans="4:4">
      <c r="D907" s="29"/>
    </row>
    <row r="908" spans="4:4">
      <c r="D908" s="29"/>
    </row>
    <row r="909" spans="4:4">
      <c r="D909" s="29"/>
    </row>
    <row r="910" spans="4:4">
      <c r="D910" s="29"/>
    </row>
    <row r="911" spans="4:4">
      <c r="D911" s="29"/>
    </row>
    <row r="912" spans="4:4">
      <c r="D912" s="29"/>
    </row>
    <row r="913" spans="4:4">
      <c r="D913" s="29"/>
    </row>
    <row r="914" spans="4:4">
      <c r="D914" s="29"/>
    </row>
    <row r="915" spans="4:4">
      <c r="D915" s="29"/>
    </row>
    <row r="916" spans="4:4">
      <c r="D916" s="29"/>
    </row>
    <row r="917" spans="4:4">
      <c r="D917" s="29"/>
    </row>
    <row r="918" spans="4:4">
      <c r="D918" s="29"/>
    </row>
    <row r="919" spans="4:4">
      <c r="D919" s="29"/>
    </row>
    <row r="920" spans="4:4">
      <c r="D920" s="29"/>
    </row>
    <row r="921" spans="4:4">
      <c r="D921" s="29"/>
    </row>
    <row r="922" spans="4:4">
      <c r="D922" s="29"/>
    </row>
    <row r="923" spans="4:4">
      <c r="D923" s="29"/>
    </row>
    <row r="924" spans="4:4">
      <c r="D924" s="29"/>
    </row>
    <row r="925" spans="4:4">
      <c r="D925" s="29"/>
    </row>
    <row r="926" spans="4:4">
      <c r="D926" s="29"/>
    </row>
    <row r="927" spans="4:4">
      <c r="D927" s="29"/>
    </row>
    <row r="928" spans="4:4">
      <c r="D928" s="29"/>
    </row>
    <row r="929" spans="4:4">
      <c r="D929" s="29"/>
    </row>
    <row r="930" spans="4:4">
      <c r="D930" s="29"/>
    </row>
    <row r="931" spans="4:4">
      <c r="D931" s="29"/>
    </row>
    <row r="932" spans="4:4">
      <c r="D932" s="29"/>
    </row>
    <row r="933" spans="4:4">
      <c r="D933" s="29"/>
    </row>
    <row r="934" spans="4:4">
      <c r="D934" s="29"/>
    </row>
    <row r="935" spans="4:4">
      <c r="D935" s="29"/>
    </row>
    <row r="936" spans="4:4">
      <c r="D936" s="29"/>
    </row>
    <row r="937" spans="4:4">
      <c r="D937" s="29"/>
    </row>
    <row r="938" spans="4:4">
      <c r="D938" s="29"/>
    </row>
    <row r="939" spans="4:4">
      <c r="D939" s="29"/>
    </row>
    <row r="940" spans="4:4">
      <c r="D940" s="29"/>
    </row>
    <row r="941" spans="4:4">
      <c r="D941" s="29"/>
    </row>
    <row r="942" spans="4:4">
      <c r="D942" s="29"/>
    </row>
    <row r="943" spans="4:4">
      <c r="D943" s="29"/>
    </row>
    <row r="944" spans="4:4">
      <c r="D944" s="29"/>
    </row>
    <row r="945" spans="4:4">
      <c r="D945" s="29"/>
    </row>
    <row r="946" spans="4:4">
      <c r="D946" s="29"/>
    </row>
    <row r="947" spans="4:4">
      <c r="D947" s="29"/>
    </row>
    <row r="948" spans="4:4">
      <c r="D948" s="29"/>
    </row>
    <row r="949" spans="4:4">
      <c r="D949" s="29"/>
    </row>
    <row r="950" spans="4:4">
      <c r="D950" s="29"/>
    </row>
    <row r="951" spans="4:4">
      <c r="D951" s="29"/>
    </row>
    <row r="952" spans="4:4">
      <c r="D952" s="29"/>
    </row>
    <row r="953" spans="4:4">
      <c r="D953" s="29"/>
    </row>
    <row r="954" spans="4:4">
      <c r="D954" s="29"/>
    </row>
    <row r="955" spans="4:4">
      <c r="D955" s="29"/>
    </row>
    <row r="956" spans="4:4">
      <c r="D956" s="29"/>
    </row>
    <row r="957" spans="4:4">
      <c r="D957" s="29"/>
    </row>
    <row r="958" spans="4:4">
      <c r="D958" s="29"/>
    </row>
    <row r="959" spans="4:4">
      <c r="D959" s="29"/>
    </row>
    <row r="960" spans="4:4">
      <c r="D960" s="29"/>
    </row>
    <row r="961" spans="4:4">
      <c r="D961" s="29"/>
    </row>
    <row r="962" spans="4:4">
      <c r="D962" s="29"/>
    </row>
    <row r="963" spans="4:4">
      <c r="D963" s="29"/>
    </row>
    <row r="964" spans="4:4">
      <c r="D964" s="29"/>
    </row>
    <row r="965" spans="4:4">
      <c r="D965" s="29"/>
    </row>
    <row r="966" spans="4:4">
      <c r="D966" s="29"/>
    </row>
    <row r="967" spans="4:4">
      <c r="D967" s="29"/>
    </row>
    <row r="968" spans="4:4">
      <c r="D968" s="29"/>
    </row>
    <row r="969" spans="4:4">
      <c r="D969" s="29"/>
    </row>
    <row r="970" spans="4:4">
      <c r="D970" s="29"/>
    </row>
    <row r="971" spans="4:4">
      <c r="D971" s="29"/>
    </row>
    <row r="972" spans="4:4">
      <c r="D972" s="29"/>
    </row>
    <row r="973" spans="4:4">
      <c r="D973" s="29"/>
    </row>
    <row r="974" spans="4:4">
      <c r="D974" s="29"/>
    </row>
    <row r="975" spans="4:4">
      <c r="D975" s="29"/>
    </row>
    <row r="976" spans="4:4">
      <c r="D976" s="29"/>
    </row>
    <row r="977" spans="4:4">
      <c r="D977" s="29"/>
    </row>
    <row r="978" spans="4:4">
      <c r="D978" s="29"/>
    </row>
    <row r="979" spans="4:4">
      <c r="D979" s="29"/>
    </row>
    <row r="980" spans="4:4">
      <c r="D980" s="29"/>
    </row>
    <row r="981" spans="4:4">
      <c r="D981" s="29"/>
    </row>
    <row r="982" spans="4:4">
      <c r="D982" s="29"/>
    </row>
    <row r="983" spans="4:4">
      <c r="D983" s="29"/>
    </row>
    <row r="984" spans="4:4">
      <c r="D984" s="29"/>
    </row>
    <row r="985" spans="4:4">
      <c r="D985" s="29"/>
    </row>
    <row r="986" spans="4:4">
      <c r="D986" s="29"/>
    </row>
    <row r="987" spans="4:4">
      <c r="D987" s="29"/>
    </row>
    <row r="988" spans="4:4">
      <c r="D988" s="29"/>
    </row>
    <row r="989" spans="4:4">
      <c r="D989" s="29"/>
    </row>
    <row r="990" spans="4:4">
      <c r="D990" s="29"/>
    </row>
    <row r="991" spans="4:4">
      <c r="D991" s="29"/>
    </row>
  </sheetData>
  <phoneticPr fontId="16" type="noConversion"/>
  <dataValidations count="1">
    <dataValidation type="list" allowBlank="1" showErrorMessage="1" sqref="C4:C9 C13:C18 C22:C27 C29:C34 C36:C39 C43:C47 C50:C54 C57:C61" xr:uid="{E7552C11-CF96-48E5-A0D7-67D4A4D53F45}">
      <formula1>"1,2,3,4,5"</formula1>
    </dataValidation>
  </dataValidations>
  <pageMargins left="0.511811024" right="0.511811024" top="0.78740157499999996" bottom="0.78740157499999996" header="0.31496062000000002" footer="0.31496062000000002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Dim_Setores</vt:lpstr>
      <vt:lpstr>Fact_Incidentes</vt:lpstr>
      <vt:lpstr>Avaliacoes_Startups</vt:lpstr>
      <vt:lpstr>Dados</vt:lpstr>
      <vt:lpstr>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Chiavini</cp:lastModifiedBy>
  <dcterms:created xsi:type="dcterms:W3CDTF">2026-01-15T15:44:36Z</dcterms:created>
  <dcterms:modified xsi:type="dcterms:W3CDTF">2026-01-15T16:22:53Z</dcterms:modified>
</cp:coreProperties>
</file>